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59F2B9E1-BD06-4E16-94B6-183958F0F0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4" i="1" l="1"/>
  <c r="F43" i="1"/>
  <c r="F42" i="1"/>
  <c r="AK33" i="1"/>
  <c r="AI33" i="1"/>
  <c r="AE13" i="1"/>
  <c r="AE14" i="1"/>
  <c r="AE15" i="1"/>
  <c r="AQ15" i="1" s="1"/>
  <c r="AE16" i="1"/>
  <c r="I43" i="1" s="1"/>
  <c r="AE17" i="1"/>
  <c r="AE18" i="1"/>
  <c r="AE19" i="1"/>
  <c r="AQ19" i="1" s="1"/>
  <c r="AE20" i="1"/>
  <c r="AQ20" i="1" s="1"/>
  <c r="AE21" i="1"/>
  <c r="AE22" i="1"/>
  <c r="AE23" i="1"/>
  <c r="AE24" i="1"/>
  <c r="AE25" i="1"/>
  <c r="AE26" i="1"/>
  <c r="AE27" i="1"/>
  <c r="AE28" i="1"/>
  <c r="AE29" i="1"/>
  <c r="AE30" i="1"/>
  <c r="AE31" i="1"/>
  <c r="AE12" i="1"/>
  <c r="AQ12" i="1" s="1"/>
  <c r="F37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H31" i="1"/>
  <c r="AQ13" i="1"/>
  <c r="AQ14" i="1"/>
  <c r="AQ17" i="1"/>
  <c r="AQ18" i="1"/>
  <c r="AQ21" i="1"/>
  <c r="AP12" i="1"/>
  <c r="AP13" i="1"/>
  <c r="AP14" i="1"/>
  <c r="AP15" i="1"/>
  <c r="AP16" i="1"/>
  <c r="AP17" i="1"/>
  <c r="AP18" i="1"/>
  <c r="AP19" i="1"/>
  <c r="AP20" i="1"/>
  <c r="AP21" i="1"/>
  <c r="AD12" i="1"/>
  <c r="AD13" i="1"/>
  <c r="AD14" i="1"/>
  <c r="AD15" i="1"/>
  <c r="AD16" i="1"/>
  <c r="AD17" i="1"/>
  <c r="AD18" i="1"/>
  <c r="AD19" i="1"/>
  <c r="AD20" i="1"/>
  <c r="AD21" i="1"/>
  <c r="X33" i="1"/>
  <c r="W33" i="1"/>
  <c r="P33" i="1"/>
  <c r="H33" i="1"/>
  <c r="O33" i="1"/>
  <c r="W12" i="1"/>
  <c r="X12" i="1" s="1"/>
  <c r="W13" i="1"/>
  <c r="X13" i="1"/>
  <c r="W14" i="1"/>
  <c r="X14" i="1"/>
  <c r="W15" i="1"/>
  <c r="X15" i="1"/>
  <c r="W16" i="1"/>
  <c r="X16" i="1"/>
  <c r="W17" i="1"/>
  <c r="X17" i="1"/>
  <c r="W18" i="1"/>
  <c r="X18" i="1"/>
  <c r="W19" i="1"/>
  <c r="X19" i="1"/>
  <c r="W20" i="1"/>
  <c r="X20" i="1"/>
  <c r="W21" i="1"/>
  <c r="X21" i="1"/>
  <c r="O12" i="1"/>
  <c r="P12" i="1"/>
  <c r="O13" i="1"/>
  <c r="P13" i="1" s="1"/>
  <c r="O14" i="1"/>
  <c r="P14" i="1"/>
  <c r="O15" i="1"/>
  <c r="P15" i="1"/>
  <c r="O16" i="1"/>
  <c r="P16" i="1"/>
  <c r="O17" i="1"/>
  <c r="P17" i="1"/>
  <c r="O18" i="1"/>
  <c r="P18" i="1"/>
  <c r="O19" i="1"/>
  <c r="P19" i="1"/>
  <c r="O20" i="1"/>
  <c r="P20" i="1"/>
  <c r="O21" i="1"/>
  <c r="P2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G33" i="1"/>
  <c r="G21" i="1"/>
  <c r="G20" i="1"/>
  <c r="G19" i="1"/>
  <c r="G18" i="1"/>
  <c r="G17" i="1"/>
  <c r="G16" i="1"/>
  <c r="G15" i="1"/>
  <c r="G14" i="1"/>
  <c r="G13" i="1"/>
  <c r="G12" i="1"/>
  <c r="AK31" i="1"/>
  <c r="AI31" i="1"/>
  <c r="AD31" i="1"/>
  <c r="W31" i="1"/>
  <c r="X31" i="1" s="1"/>
  <c r="O31" i="1"/>
  <c r="P31" i="1" s="1"/>
  <c r="G31" i="1"/>
  <c r="H31" i="1" s="1"/>
  <c r="AD30" i="1"/>
  <c r="W30" i="1"/>
  <c r="X30" i="1" s="1"/>
  <c r="O30" i="1"/>
  <c r="P30" i="1" s="1"/>
  <c r="G30" i="1"/>
  <c r="AD29" i="1"/>
  <c r="W29" i="1"/>
  <c r="X29" i="1" s="1"/>
  <c r="O29" i="1"/>
  <c r="P29" i="1" s="1"/>
  <c r="G29" i="1"/>
  <c r="AD28" i="1"/>
  <c r="W28" i="1"/>
  <c r="X28" i="1" s="1"/>
  <c r="O28" i="1"/>
  <c r="P28" i="1" s="1"/>
  <c r="G28" i="1"/>
  <c r="AD27" i="1"/>
  <c r="W27" i="1"/>
  <c r="X27" i="1" s="1"/>
  <c r="O27" i="1"/>
  <c r="P27" i="1" s="1"/>
  <c r="G27" i="1"/>
  <c r="AD26" i="1"/>
  <c r="W26" i="1"/>
  <c r="X26" i="1" s="1"/>
  <c r="O26" i="1"/>
  <c r="P26" i="1" s="1"/>
  <c r="G26" i="1"/>
  <c r="AD25" i="1"/>
  <c r="W25" i="1"/>
  <c r="X25" i="1" s="1"/>
  <c r="O25" i="1"/>
  <c r="P25" i="1" s="1"/>
  <c r="G25" i="1"/>
  <c r="AF24" i="1"/>
  <c r="AD24" i="1"/>
  <c r="AP24" i="1" s="1"/>
  <c r="W24" i="1"/>
  <c r="X24" i="1" s="1"/>
  <c r="O24" i="1"/>
  <c r="P24" i="1" s="1"/>
  <c r="G24" i="1"/>
  <c r="AF23" i="1"/>
  <c r="AD23" i="1"/>
  <c r="W23" i="1"/>
  <c r="X23" i="1" s="1"/>
  <c r="O23" i="1"/>
  <c r="P23" i="1" s="1"/>
  <c r="G23" i="1"/>
  <c r="AF22" i="1"/>
  <c r="AD22" i="1"/>
  <c r="W22" i="1"/>
  <c r="O22" i="1"/>
  <c r="P22" i="1" s="1"/>
  <c r="G22" i="1"/>
  <c r="AQ16" i="1" l="1"/>
  <c r="I42" i="1"/>
  <c r="I44" i="1"/>
  <c r="AQ30" i="1"/>
  <c r="AQ23" i="1"/>
  <c r="AP31" i="1"/>
  <c r="AP30" i="1"/>
  <c r="AP26" i="1"/>
  <c r="AQ26" i="1"/>
  <c r="AP28" i="1"/>
  <c r="AQ24" i="1"/>
  <c r="AP23" i="1"/>
  <c r="AQ28" i="1"/>
  <c r="AP25" i="1"/>
  <c r="AP27" i="1"/>
  <c r="AP29" i="1"/>
  <c r="AQ31" i="1"/>
  <c r="AK36" i="1"/>
  <c r="I41" i="1" s="1"/>
  <c r="X22" i="1"/>
  <c r="AI36" i="1"/>
  <c r="F41" i="1" s="1"/>
  <c r="AQ25" i="1"/>
  <c r="AQ27" i="1"/>
  <c r="AQ29" i="1"/>
  <c r="F46" i="1"/>
  <c r="I46" i="1" s="1"/>
  <c r="F38" i="1"/>
  <c r="AI34" i="1"/>
  <c r="F39" i="1" s="1"/>
  <c r="AP22" i="1"/>
  <c r="AP33" i="1" s="1"/>
  <c r="I38" i="1"/>
  <c r="AK34" i="1"/>
  <c r="I39" i="1" s="1"/>
  <c r="AQ22" i="1"/>
  <c r="AI35" i="1"/>
  <c r="F40" i="1" s="1"/>
  <c r="AK35" i="1"/>
  <c r="I40" i="1" s="1"/>
  <c r="AQ33" i="1" l="1"/>
  <c r="I37" i="1" s="1"/>
  <c r="I36" i="1"/>
  <c r="F45" i="1"/>
  <c r="F36" i="1"/>
  <c r="I45" i="1"/>
</calcChain>
</file>

<file path=xl/sharedStrings.xml><?xml version="1.0" encoding="utf-8"?>
<sst xmlns="http://schemas.openxmlformats.org/spreadsheetml/2006/main" count="155" uniqueCount="75">
  <si>
    <t xml:space="preserve">TURNO: </t>
  </si>
  <si>
    <t>Día</t>
  </si>
  <si>
    <t>PRODUCTO :</t>
  </si>
  <si>
    <t>Lateral</t>
  </si>
  <si>
    <t>FECHA:</t>
  </si>
  <si>
    <t>MERCADO:</t>
  </si>
  <si>
    <t>China</t>
  </si>
  <si>
    <t xml:space="preserve">HORA  :  </t>
  </si>
  <si>
    <t>ÍNDICE DE CLASIFICACIÓN</t>
  </si>
  <si>
    <t>Supervisor:</t>
  </si>
  <si>
    <t>Operador:</t>
  </si>
  <si>
    <t>Bernardo Romero</t>
  </si>
  <si>
    <t>Inspector:</t>
  </si>
  <si>
    <t>Pieza</t>
  </si>
  <si>
    <t>Dimensión Estimada (mm)</t>
  </si>
  <si>
    <t>Dimensión Software (mm)</t>
  </si>
  <si>
    <t xml:space="preserve">Dimensión Salida  (mm) </t>
  </si>
  <si>
    <t>Grados</t>
  </si>
  <si>
    <t>CONTEO PIEZAS LARGO</t>
  </si>
  <si>
    <t>Efectividad clasificación</t>
  </si>
  <si>
    <t>Espesor</t>
  </si>
  <si>
    <t>Ancho</t>
  </si>
  <si>
    <t>Largo</t>
  </si>
  <si>
    <t>Grado</t>
  </si>
  <si>
    <t>Volumen  (m3)</t>
  </si>
  <si>
    <t>$$</t>
  </si>
  <si>
    <t>Observaciones</t>
  </si>
  <si>
    <t>est/sal</t>
  </si>
  <si>
    <t>est/soft</t>
  </si>
  <si>
    <t>ESTIMADO V/S SALIDA</t>
  </si>
  <si>
    <t>ESTIMADO V/S SOFTWARE</t>
  </si>
  <si>
    <t>COP</t>
  </si>
  <si>
    <t>COL</t>
  </si>
  <si>
    <t>Total Volumen</t>
  </si>
  <si>
    <t>Bien trozadas</t>
  </si>
  <si>
    <t>Sobretrozadas</t>
  </si>
  <si>
    <t>Estimado vs Salida</t>
  </si>
  <si>
    <t>Estimado vs Software</t>
  </si>
  <si>
    <t>Subtrozadas</t>
  </si>
  <si>
    <t>Índice de Despunte Volumétrico</t>
  </si>
  <si>
    <t>Volumen estimado v/s real obtenido</t>
  </si>
  <si>
    <t>Rechazo</t>
  </si>
  <si>
    <t>Índice de Clasificación</t>
  </si>
  <si>
    <t>% Piezas correctamente clasificadas</t>
  </si>
  <si>
    <t>Pzas Bien trozadas</t>
  </si>
  <si>
    <t>% piezas de acuerdo al largo estimado</t>
  </si>
  <si>
    <t>Pzas Sobre trozadas</t>
  </si>
  <si>
    <t>% piezas trozadas a un largo menor</t>
  </si>
  <si>
    <t>Pzas Sub trozadas</t>
  </si>
  <si>
    <t>% piezas trozadas a un largo mayor</t>
  </si>
  <si>
    <t xml:space="preserve"> </t>
  </si>
  <si>
    <t>Pzas Rechazo</t>
  </si>
  <si>
    <t>% Piezas con exceso de cto muerto  o slash</t>
  </si>
  <si>
    <t>Pza en Grado</t>
  </si>
  <si>
    <t>% Piezas dentro del grado</t>
  </si>
  <si>
    <t>Pza en Sobregrado</t>
  </si>
  <si>
    <t>% Piezas con mayor grado que el clasificado</t>
  </si>
  <si>
    <t>Pza en Bajo Grado</t>
  </si>
  <si>
    <t>% Piezas con menor grado que el clasificado</t>
  </si>
  <si>
    <t>Recuperación de Margen $$</t>
  </si>
  <si>
    <t>N° Optimizaciones</t>
  </si>
  <si>
    <t>Orientación de laterales Nº XXX</t>
  </si>
  <si>
    <t>n° opt.</t>
  </si>
  <si>
    <t>Anchos</t>
  </si>
  <si>
    <t>Largos Hab,</t>
  </si>
  <si>
    <t>Mercado</t>
  </si>
  <si>
    <t>peca al largo</t>
  </si>
  <si>
    <t>cop a 11 pies por cm en extremo</t>
  </si>
  <si>
    <t>COB</t>
  </si>
  <si>
    <t>RECH</t>
  </si>
  <si>
    <t>Bernardo Mendoza</t>
  </si>
  <si>
    <t>Erika Galvez</t>
  </si>
  <si>
    <t>Inspector</t>
  </si>
  <si>
    <t>Scanner Finsca</t>
  </si>
  <si>
    <t>Comparacion salida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</si>
</sst>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 &quot;$&quot;* #,##0_ ;_ &quot;$&quot;* \-#,##0_ ;_ &quot;$&quot;* &quot;-&quot;_ ;_ @_ "/>
    <numFmt numFmtId="44" formatCode="_ &quot;$&quot;* #,##0.00_ ;_ &quot;$&quot;* \-#,##0.00_ ;_ &quot;$&quot;* &quot;-&quot;??_ ;_ @_ "/>
    <numFmt numFmtId="164" formatCode="d\-mmm"/>
    <numFmt numFmtId="165" formatCode="0.0%"/>
    <numFmt numFmtId="166" formatCode="0.0000"/>
    <numFmt numFmtId="167" formatCode="_ &quot;$&quot;* #,##0.000_ ;_ &quot;$&quot;* \-#,##0.000_ ;_ &quot;$&quot;* &quot;-&quot;_ ;_ @_ "/>
    <numFmt numFmtId="168" formatCode="0.000"/>
    <numFmt numFmtId="169" formatCode="0.0"/>
    <numFmt numFmtId="170" formatCode="_ &quot;$&quot;* #,##0.0_ ;_ &quot;$&quot;* \-#,##0.0_ ;_ &quot;$&quot;* &quot;-&quot;_ ;_ @_ 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sz val="8"/>
      <color indexed="9"/>
      <name val="Arial"/>
      <family val="2"/>
    </font>
    <font>
      <b/>
      <sz val="10"/>
      <name val="Arial"/>
      <family val="2"/>
    </font>
    <font>
      <sz val="8"/>
      <color indexed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8"/>
      <color indexed="12"/>
      <name val="Arial"/>
      <family val="2"/>
    </font>
    <font>
      <sz val="8"/>
      <color indexed="58"/>
      <name val="Arial"/>
      <family val="2"/>
    </font>
    <font>
      <sz val="8"/>
      <color indexed="12"/>
      <name val="Arial"/>
      <family val="2"/>
    </font>
    <font>
      <b/>
      <sz val="8"/>
      <color indexed="10"/>
      <name val="Arial"/>
      <family val="2"/>
    </font>
    <font>
      <sz val="8"/>
      <name val="Monotype Sorts"/>
      <charset val="2"/>
    </font>
    <font>
      <sz val="9"/>
      <name val="Arial"/>
      <family val="2"/>
    </font>
    <font>
      <b/>
      <sz val="10"/>
      <color indexed="18"/>
      <name val="Arial"/>
      <family val="2"/>
    </font>
    <font>
      <b/>
      <sz val="10"/>
      <color indexed="10"/>
      <name val="Arial"/>
      <family val="2"/>
    </font>
    <font>
      <b/>
      <sz val="12"/>
      <color indexed="10"/>
      <name val="Arial"/>
      <family val="2"/>
    </font>
    <font>
      <sz val="12"/>
      <color indexed="10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0">
    <xf numFmtId="0" fontId="0" fillId="0" borderId="0" xfId="0"/>
    <xf numFmtId="0" fontId="2" fillId="0" borderId="0" xfId="0" applyFont="1"/>
    <xf numFmtId="14" fontId="3" fillId="0" borderId="0" xfId="0" applyNumberFormat="1" applyFont="1"/>
    <xf numFmtId="0" fontId="3" fillId="0" borderId="0" xfId="0" applyFont="1" applyAlignment="1">
      <alignment vertical="justify" shrinkToFit="1"/>
    </xf>
    <xf numFmtId="0" fontId="4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5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65" fontId="8" fillId="0" borderId="0" xfId="3" applyNumberFormat="1" applyFont="1" applyBorder="1" applyAlignment="1">
      <alignment horizontal="center"/>
    </xf>
    <xf numFmtId="15" fontId="3" fillId="0" borderId="0" xfId="0" applyNumberFormat="1" applyFont="1" applyAlignment="1">
      <alignment horizontal="left"/>
    </xf>
    <xf numFmtId="20" fontId="5" fillId="0" borderId="0" xfId="0" applyNumberFormat="1" applyFont="1" applyAlignment="1">
      <alignment horizontal="left"/>
    </xf>
    <xf numFmtId="0" fontId="3" fillId="0" borderId="0" xfId="0" applyFont="1"/>
    <xf numFmtId="0" fontId="8" fillId="0" borderId="0" xfId="0" applyFont="1"/>
    <xf numFmtId="0" fontId="3" fillId="0" borderId="0" xfId="0" applyFont="1" applyAlignment="1">
      <alignment horizontal="right"/>
    </xf>
    <xf numFmtId="15" fontId="5" fillId="0" borderId="0" xfId="0" applyNumberFormat="1" applyFont="1" applyAlignment="1">
      <alignment horizontal="left"/>
    </xf>
    <xf numFmtId="20" fontId="3" fillId="0" borderId="0" xfId="0" applyNumberFormat="1" applyFont="1" applyAlignment="1">
      <alignment horizontal="left"/>
    </xf>
    <xf numFmtId="1" fontId="5" fillId="0" borderId="0" xfId="0" applyNumberFormat="1" applyFont="1" applyAlignment="1">
      <alignment horizontal="left"/>
    </xf>
    <xf numFmtId="1" fontId="5" fillId="0" borderId="0" xfId="0" applyNumberFormat="1" applyFont="1"/>
    <xf numFmtId="1" fontId="0" fillId="0" borderId="0" xfId="0" applyNumberFormat="1"/>
    <xf numFmtId="1" fontId="2" fillId="0" borderId="0" xfId="0" applyNumberFormat="1" applyFont="1"/>
    <xf numFmtId="49" fontId="5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2" fillId="0" borderId="6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7" fillId="0" borderId="8" xfId="0" applyFont="1" applyBorder="1" applyAlignment="1">
      <alignment horizontal="center" vertical="center"/>
    </xf>
    <xf numFmtId="166" fontId="5" fillId="0" borderId="5" xfId="0" applyNumberFormat="1" applyFont="1" applyBorder="1" applyAlignment="1">
      <alignment horizontal="center" vertical="center"/>
    </xf>
    <xf numFmtId="167" fontId="5" fillId="0" borderId="0" xfId="2" applyNumberFormat="1" applyFont="1" applyBorder="1" applyAlignment="1">
      <alignment horizontal="center" vertical="center"/>
    </xf>
    <xf numFmtId="168" fontId="5" fillId="0" borderId="0" xfId="0" applyNumberFormat="1" applyFont="1" applyAlignment="1">
      <alignment horizontal="center" vertical="center"/>
    </xf>
    <xf numFmtId="166" fontId="5" fillId="0" borderId="8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/>
    </xf>
    <xf numFmtId="0" fontId="2" fillId="0" borderId="8" xfId="0" applyFont="1" applyBorder="1" applyAlignment="1">
      <alignment horizontal="left" vertical="center" wrapText="1"/>
    </xf>
    <xf numFmtId="169" fontId="2" fillId="0" borderId="13" xfId="0" applyNumberFormat="1" applyFont="1" applyBorder="1" applyAlignment="1">
      <alignment horizontal="right"/>
    </xf>
    <xf numFmtId="0" fontId="2" fillId="0" borderId="0" xfId="0" applyFont="1" applyAlignment="1">
      <alignment horizontal="right"/>
    </xf>
    <xf numFmtId="0" fontId="9" fillId="0" borderId="12" xfId="0" applyFont="1" applyBorder="1"/>
    <xf numFmtId="0" fontId="3" fillId="0" borderId="12" xfId="0" applyFont="1" applyBorder="1"/>
    <xf numFmtId="0" fontId="2" fillId="0" borderId="14" xfId="0" applyFont="1" applyBorder="1"/>
    <xf numFmtId="0" fontId="9" fillId="0" borderId="15" xfId="0" applyFont="1" applyBorder="1"/>
    <xf numFmtId="0" fontId="2" fillId="0" borderId="15" xfId="0" applyFont="1" applyBorder="1"/>
    <xf numFmtId="0" fontId="6" fillId="0" borderId="0" xfId="0" applyFont="1" applyAlignment="1">
      <alignment horizontal="center"/>
    </xf>
    <xf numFmtId="0" fontId="3" fillId="0" borderId="15" xfId="0" applyFont="1" applyBorder="1"/>
    <xf numFmtId="166" fontId="5" fillId="2" borderId="5" xfId="0" applyNumberFormat="1" applyFont="1" applyFill="1" applyBorder="1" applyAlignment="1">
      <alignment horizontal="center" vertical="center"/>
    </xf>
    <xf numFmtId="168" fontId="5" fillId="2" borderId="0" xfId="0" applyNumberFormat="1" applyFont="1" applyFill="1" applyAlignment="1">
      <alignment horizontal="center" vertical="center"/>
    </xf>
    <xf numFmtId="166" fontId="5" fillId="2" borderId="8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66" fontId="5" fillId="2" borderId="0" xfId="0" applyNumberFormat="1" applyFont="1" applyFill="1" applyAlignment="1">
      <alignment horizontal="center" vertical="center"/>
    </xf>
    <xf numFmtId="0" fontId="10" fillId="0" borderId="0" xfId="0" applyFont="1"/>
    <xf numFmtId="2" fontId="7" fillId="0" borderId="8" xfId="0" applyNumberFormat="1" applyFont="1" applyBorder="1" applyAlignment="1">
      <alignment horizontal="center" vertical="center"/>
    </xf>
    <xf numFmtId="0" fontId="2" fillId="0" borderId="16" xfId="0" applyFont="1" applyBorder="1"/>
    <xf numFmtId="166" fontId="7" fillId="0" borderId="0" xfId="0" applyNumberFormat="1" applyFont="1" applyAlignment="1">
      <alignment horizontal="center"/>
    </xf>
    <xf numFmtId="170" fontId="7" fillId="0" borderId="0" xfId="2" applyNumberFormat="1" applyFont="1" applyAlignment="1">
      <alignment horizontal="center"/>
    </xf>
    <xf numFmtId="166" fontId="7" fillId="0" borderId="0" xfId="0" applyNumberFormat="1" applyFont="1"/>
    <xf numFmtId="166" fontId="6" fillId="0" borderId="0" xfId="0" applyNumberFormat="1" applyFont="1"/>
    <xf numFmtId="0" fontId="6" fillId="0" borderId="17" xfId="0" applyFont="1" applyBorder="1"/>
    <xf numFmtId="0" fontId="2" fillId="0" borderId="13" xfId="0" applyFont="1" applyBorder="1"/>
    <xf numFmtId="0" fontId="11" fillId="0" borderId="15" xfId="0" applyFont="1" applyBorder="1"/>
    <xf numFmtId="0" fontId="5" fillId="3" borderId="9" xfId="0" applyFont="1" applyFill="1" applyBorder="1" applyAlignment="1">
      <alignment horizontal="left"/>
    </xf>
    <xf numFmtId="0" fontId="5" fillId="3" borderId="18" xfId="0" applyFont="1" applyFill="1" applyBorder="1"/>
    <xf numFmtId="9" fontId="5" fillId="3" borderId="18" xfId="3" applyFont="1" applyFill="1" applyBorder="1"/>
    <xf numFmtId="168" fontId="5" fillId="3" borderId="10" xfId="0" applyNumberFormat="1" applyFont="1" applyFill="1" applyBorder="1" applyAlignment="1">
      <alignment horizontal="center"/>
    </xf>
    <xf numFmtId="170" fontId="5" fillId="3" borderId="10" xfId="2" applyNumberFormat="1" applyFont="1" applyFill="1" applyBorder="1" applyAlignment="1">
      <alignment horizontal="center"/>
    </xf>
    <xf numFmtId="168" fontId="5" fillId="0" borderId="0" xfId="0" applyNumberFormat="1" applyFont="1"/>
    <xf numFmtId="0" fontId="5" fillId="3" borderId="9" xfId="0" applyFont="1" applyFill="1" applyBorder="1"/>
    <xf numFmtId="168" fontId="5" fillId="3" borderId="0" xfId="0" applyNumberFormat="1" applyFont="1" applyFill="1" applyAlignment="1">
      <alignment horizontal="center"/>
    </xf>
    <xf numFmtId="168" fontId="12" fillId="0" borderId="0" xfId="0" applyNumberFormat="1" applyFont="1" applyAlignment="1">
      <alignment horizontal="center"/>
    </xf>
    <xf numFmtId="10" fontId="3" fillId="0" borderId="13" xfId="3" applyNumberFormat="1" applyFont="1" applyBorder="1" applyAlignment="1">
      <alignment horizontal="right"/>
    </xf>
    <xf numFmtId="10" fontId="3" fillId="0" borderId="0" xfId="3" applyNumberFormat="1" applyFont="1" applyBorder="1" applyAlignment="1">
      <alignment horizontal="right"/>
    </xf>
    <xf numFmtId="168" fontId="2" fillId="0" borderId="0" xfId="0" applyNumberFormat="1" applyFont="1"/>
    <xf numFmtId="10" fontId="2" fillId="0" borderId="13" xfId="3" applyNumberFormat="1" applyFont="1" applyBorder="1" applyAlignment="1">
      <alignment horizontal="right"/>
    </xf>
    <xf numFmtId="10" fontId="2" fillId="0" borderId="0" xfId="3" applyNumberFormat="1" applyFont="1" applyBorder="1" applyAlignment="1">
      <alignment horizontal="right"/>
    </xf>
    <xf numFmtId="0" fontId="13" fillId="0" borderId="0" xfId="0" applyFont="1" applyAlignment="1">
      <alignment horizontal="right"/>
    </xf>
    <xf numFmtId="169" fontId="3" fillId="0" borderId="0" xfId="3" applyNumberFormat="1" applyFont="1" applyBorder="1"/>
    <xf numFmtId="0" fontId="5" fillId="0" borderId="11" xfId="0" applyFont="1" applyBorder="1"/>
    <xf numFmtId="0" fontId="7" fillId="0" borderId="19" xfId="0" applyFont="1" applyBorder="1"/>
    <xf numFmtId="0" fontId="7" fillId="0" borderId="12" xfId="0" applyFont="1" applyBorder="1"/>
    <xf numFmtId="0" fontId="14" fillId="0" borderId="0" xfId="0" applyFont="1"/>
    <xf numFmtId="165" fontId="2" fillId="0" borderId="20" xfId="0" applyNumberFormat="1" applyFont="1" applyBorder="1"/>
    <xf numFmtId="10" fontId="2" fillId="0" borderId="21" xfId="3" applyNumberFormat="1" applyFont="1" applyBorder="1" applyAlignment="1">
      <alignment horizontal="right"/>
    </xf>
    <xf numFmtId="0" fontId="2" fillId="0" borderId="22" xfId="0" applyFont="1" applyBorder="1"/>
    <xf numFmtId="168" fontId="2" fillId="0" borderId="22" xfId="0" applyNumberFormat="1" applyFont="1" applyBorder="1"/>
    <xf numFmtId="0" fontId="5" fillId="0" borderId="13" xfId="0" applyFont="1" applyBorder="1"/>
    <xf numFmtId="0" fontId="7" fillId="0" borderId="15" xfId="0" applyFont="1" applyBorder="1"/>
    <xf numFmtId="165" fontId="2" fillId="0" borderId="0" xfId="0" applyNumberFormat="1" applyFont="1"/>
    <xf numFmtId="0" fontId="5" fillId="0" borderId="20" xfId="0" applyFont="1" applyBorder="1"/>
    <xf numFmtId="0" fontId="7" fillId="0" borderId="21" xfId="0" applyFont="1" applyBorder="1"/>
    <xf numFmtId="0" fontId="7" fillId="0" borderId="22" xfId="0" applyFont="1" applyBorder="1"/>
    <xf numFmtId="10" fontId="2" fillId="0" borderId="0" xfId="0" applyNumberFormat="1" applyFont="1"/>
    <xf numFmtId="44" fontId="15" fillId="0" borderId="11" xfId="1" applyFont="1" applyBorder="1" applyAlignment="1">
      <alignment horizontal="left"/>
    </xf>
    <xf numFmtId="0" fontId="0" fillId="0" borderId="19" xfId="0" applyBorder="1"/>
    <xf numFmtId="0" fontId="16" fillId="0" borderId="19" xfId="0" applyFont="1" applyBorder="1" applyAlignment="1">
      <alignment horizontal="left"/>
    </xf>
    <xf numFmtId="0" fontId="7" fillId="0" borderId="19" xfId="0" applyFont="1" applyBorder="1" applyAlignment="1">
      <alignment horizontal="left"/>
    </xf>
    <xf numFmtId="0" fontId="15" fillId="0" borderId="19" xfId="0" applyFont="1" applyBorder="1" applyAlignment="1">
      <alignment horizontal="left"/>
    </xf>
    <xf numFmtId="0" fontId="0" fillId="0" borderId="12" xfId="0" applyBorder="1"/>
    <xf numFmtId="0" fontId="5" fillId="0" borderId="0" xfId="0" applyFont="1" applyAlignment="1">
      <alignment horizontal="right"/>
    </xf>
    <xf numFmtId="0" fontId="0" fillId="0" borderId="15" xfId="0" applyBorder="1"/>
    <xf numFmtId="0" fontId="5" fillId="0" borderId="13" xfId="0" applyFont="1" applyBorder="1" applyAlignment="1">
      <alignment horizontal="left"/>
    </xf>
    <xf numFmtId="0" fontId="5" fillId="0" borderId="0" xfId="0" applyFont="1" applyAlignment="1">
      <alignment horizontal="center"/>
    </xf>
    <xf numFmtId="168" fontId="0" fillId="0" borderId="0" xfId="0" applyNumberFormat="1" applyAlignment="1">
      <alignment horizontal="left"/>
    </xf>
    <xf numFmtId="168" fontId="7" fillId="0" borderId="0" xfId="0" applyNumberFormat="1" applyFont="1" applyAlignment="1">
      <alignment horizontal="left"/>
    </xf>
    <xf numFmtId="169" fontId="3" fillId="0" borderId="0" xfId="0" applyNumberFormat="1" applyFont="1"/>
    <xf numFmtId="169" fontId="0" fillId="0" borderId="0" xfId="0" applyNumberFormat="1" applyAlignment="1">
      <alignment horizontal="left"/>
    </xf>
    <xf numFmtId="169" fontId="7" fillId="0" borderId="0" xfId="0" applyNumberFormat="1" applyFont="1" applyAlignment="1">
      <alignment horizontal="left"/>
    </xf>
    <xf numFmtId="0" fontId="17" fillId="0" borderId="0" xfId="0" applyFont="1"/>
    <xf numFmtId="0" fontId="18" fillId="0" borderId="0" xfId="0" applyFont="1"/>
    <xf numFmtId="0" fontId="2" fillId="0" borderId="16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15" xfId="0" applyFont="1" applyBorder="1" applyAlignment="1">
      <alignment horizontal="left"/>
    </xf>
    <xf numFmtId="0" fontId="5" fillId="0" borderId="9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165" fontId="5" fillId="0" borderId="19" xfId="3" applyNumberFormat="1" applyFont="1" applyBorder="1" applyAlignment="1">
      <alignment horizontal="center" vertical="center"/>
    </xf>
    <xf numFmtId="165" fontId="5" fillId="0" borderId="12" xfId="3" applyNumberFormat="1" applyFont="1" applyBorder="1" applyAlignment="1">
      <alignment horizontal="center" vertical="center"/>
    </xf>
    <xf numFmtId="165" fontId="5" fillId="0" borderId="11" xfId="3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165" fontId="5" fillId="0" borderId="0" xfId="3" applyNumberFormat="1" applyFont="1" applyBorder="1" applyAlignment="1">
      <alignment horizontal="center" vertical="center"/>
    </xf>
    <xf numFmtId="165" fontId="5" fillId="0" borderId="15" xfId="3" applyNumberFormat="1" applyFont="1" applyBorder="1" applyAlignment="1">
      <alignment horizontal="center" vertical="center"/>
    </xf>
    <xf numFmtId="165" fontId="5" fillId="0" borderId="13" xfId="3" applyNumberFormat="1" applyFont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5" fontId="5" fillId="0" borderId="15" xfId="0" applyNumberFormat="1" applyFont="1" applyBorder="1" applyAlignment="1">
      <alignment horizontal="center" vertical="center"/>
    </xf>
    <xf numFmtId="165" fontId="5" fillId="0" borderId="13" xfId="0" applyNumberFormat="1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19" fillId="0" borderId="0" xfId="0" applyFont="1" applyAlignment="1">
      <alignment horizontal="center"/>
    </xf>
  </cellXfs>
  <cellStyles count="4">
    <cellStyle name="Moneda" xfId="1" builtinId="4"/>
    <cellStyle name="Moneda [0]" xfId="2" builtinId="7"/>
    <cellStyle name="Normal" xfId="0" builtinId="0"/>
    <cellStyle name="Porcentaje" xfId="3" builtinId="5"/>
  </cellStyles>
  <dxfs count="8">
    <dxf>
      <fill>
        <patternFill>
          <bgColor indexed="41"/>
        </patternFill>
      </fill>
    </dxf>
    <dxf>
      <fill>
        <patternFill>
          <bgColor indexed="42"/>
        </patternFill>
      </fill>
    </dxf>
    <dxf>
      <fill>
        <patternFill>
          <bgColor theme="5" tint="0.39994506668294322"/>
        </patternFill>
      </fill>
    </dxf>
    <dxf>
      <fill>
        <patternFill>
          <bgColor indexed="13"/>
        </patternFill>
      </fill>
    </dxf>
    <dxf>
      <fill>
        <patternFill>
          <bgColor indexed="42"/>
        </patternFill>
      </fill>
    </dxf>
    <dxf>
      <fill>
        <patternFill>
          <bgColor indexed="27"/>
        </patternFill>
      </fill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123825</xdr:rowOff>
    </xdr:from>
    <xdr:to>
      <xdr:col>3</xdr:col>
      <xdr:colOff>381000</xdr:colOff>
      <xdr:row>3</xdr:row>
      <xdr:rowOff>17248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123825"/>
          <a:ext cx="2000250" cy="4649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6"/>
  <sheetViews>
    <sheetView tabSelected="1" topLeftCell="E12" workbookViewId="0">
      <selection activeCell="R9" sqref="R9:X9"/>
    </sheetView>
  </sheetViews>
  <sheetFormatPr baseColWidth="10" defaultColWidth="9.109375" defaultRowHeight="14.4"/>
  <cols>
    <col min="7" max="7" width="13.6640625" customWidth="1"/>
    <col min="10" max="10" width="11" customWidth="1"/>
    <col min="15" max="15" width="15" customWidth="1"/>
    <col min="28" max="28" width="29.44140625" customWidth="1"/>
    <col min="31" max="31" width="11.88671875" bestFit="1" customWidth="1"/>
  </cols>
  <sheetData>
    <row r="1" spans="1:47">
      <c r="A1" s="1"/>
      <c r="B1" s="1"/>
      <c r="C1" s="1"/>
      <c r="D1" s="1"/>
      <c r="E1" s="2"/>
      <c r="F1" s="3"/>
      <c r="G1" s="4"/>
      <c r="H1" s="5"/>
      <c r="I1" s="6"/>
      <c r="J1" s="7" t="s">
        <v>0</v>
      </c>
      <c r="K1" s="8" t="s">
        <v>1</v>
      </c>
      <c r="L1" s="1"/>
      <c r="M1" s="4"/>
      <c r="N1" s="4"/>
      <c r="O1" s="1"/>
      <c r="P1" s="7" t="s">
        <v>2</v>
      </c>
      <c r="Q1" s="9" t="s">
        <v>3</v>
      </c>
      <c r="R1" s="1"/>
      <c r="S1" s="4"/>
      <c r="T1" s="4"/>
      <c r="U1" s="1"/>
      <c r="V1" s="1"/>
      <c r="W1" s="7"/>
      <c r="X1" s="9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7">
      <c r="A2" s="1"/>
      <c r="B2" s="10"/>
      <c r="C2" s="1"/>
      <c r="D2" s="1"/>
      <c r="E2" s="2"/>
      <c r="F2" s="3"/>
      <c r="G2" s="1"/>
      <c r="H2" s="11"/>
      <c r="I2" s="12"/>
      <c r="J2" s="7" t="s">
        <v>4</v>
      </c>
      <c r="K2" s="13">
        <v>45925</v>
      </c>
      <c r="L2" s="1"/>
      <c r="M2" s="14"/>
      <c r="N2" s="14"/>
      <c r="O2" s="1"/>
      <c r="P2" s="7" t="s">
        <v>5</v>
      </c>
      <c r="Q2" s="9" t="s">
        <v>6</v>
      </c>
      <c r="R2" s="15"/>
      <c r="S2" s="15"/>
      <c r="T2" s="15"/>
      <c r="U2" s="1"/>
      <c r="V2" s="1"/>
      <c r="W2" s="7"/>
      <c r="X2" s="9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65" t="s">
        <v>32</v>
      </c>
      <c r="AT2" s="121">
        <v>240</v>
      </c>
      <c r="AU2" s="65">
        <v>1</v>
      </c>
    </row>
    <row r="3" spans="1:47">
      <c r="A3" s="1"/>
      <c r="B3" s="1"/>
      <c r="C3" s="1"/>
      <c r="D3" s="1"/>
      <c r="E3" s="2"/>
      <c r="F3" s="3"/>
      <c r="G3" s="7"/>
      <c r="H3" s="11"/>
      <c r="I3" s="12"/>
      <c r="J3" s="16" t="s">
        <v>7</v>
      </c>
      <c r="K3" s="17">
        <v>0.5</v>
      </c>
      <c r="L3" s="1"/>
      <c r="M3" s="1"/>
      <c r="N3" s="1"/>
      <c r="O3" s="1"/>
      <c r="P3" s="15"/>
      <c r="Q3" s="15"/>
      <c r="R3" s="15"/>
      <c r="S3" s="15"/>
      <c r="T3" s="15"/>
      <c r="U3" s="1"/>
      <c r="V3" s="1"/>
      <c r="W3" s="18"/>
      <c r="X3" s="9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65" t="s">
        <v>31</v>
      </c>
      <c r="AT3" s="121">
        <v>210</v>
      </c>
      <c r="AU3" s="65">
        <v>2</v>
      </c>
    </row>
    <row r="4" spans="1:47">
      <c r="A4" s="1"/>
      <c r="B4" s="19" t="s">
        <v>8</v>
      </c>
      <c r="C4" s="1"/>
      <c r="D4" s="1"/>
      <c r="E4" s="18"/>
      <c r="F4" s="20"/>
      <c r="G4" s="7"/>
      <c r="H4" s="11"/>
      <c r="I4" s="11"/>
      <c r="J4" s="21" t="s">
        <v>9</v>
      </c>
      <c r="K4" s="9" t="s">
        <v>70</v>
      </c>
      <c r="L4" s="22"/>
      <c r="M4" s="1"/>
      <c r="N4" s="1"/>
      <c r="O4" s="1"/>
      <c r="P4" s="1"/>
      <c r="Q4" s="1"/>
      <c r="R4" s="1"/>
      <c r="S4" s="1"/>
      <c r="T4" s="1"/>
      <c r="U4" s="1"/>
      <c r="V4" s="1"/>
      <c r="W4" s="9"/>
      <c r="X4" s="9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65" t="s">
        <v>68</v>
      </c>
      <c r="AT4" s="121">
        <v>205</v>
      </c>
      <c r="AU4" s="65">
        <v>3</v>
      </c>
    </row>
    <row r="5" spans="1:47">
      <c r="A5" s="1"/>
      <c r="B5" s="19"/>
      <c r="C5" s="1"/>
      <c r="D5" s="1"/>
      <c r="E5" s="18"/>
      <c r="F5" s="20"/>
      <c r="G5" s="7"/>
      <c r="H5" s="11"/>
      <c r="I5" s="11"/>
      <c r="J5" s="23" t="s">
        <v>10</v>
      </c>
      <c r="K5" s="24" t="s">
        <v>11</v>
      </c>
      <c r="M5" s="1"/>
      <c r="N5" s="1"/>
      <c r="O5" s="1"/>
      <c r="P5" s="1"/>
      <c r="Q5" s="1"/>
      <c r="R5" s="1"/>
      <c r="S5" s="1"/>
      <c r="T5" s="1"/>
      <c r="U5" s="1"/>
      <c r="V5" s="1"/>
      <c r="W5" s="9"/>
      <c r="X5" s="9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65" t="s">
        <v>69</v>
      </c>
      <c r="AT5" s="121">
        <v>2</v>
      </c>
      <c r="AU5" s="65">
        <v>4</v>
      </c>
    </row>
    <row r="6" spans="1:47">
      <c r="A6" s="1"/>
      <c r="B6" s="18"/>
      <c r="C6" s="1"/>
      <c r="D6" s="1"/>
      <c r="E6" s="1"/>
      <c r="F6" s="20"/>
      <c r="G6" s="7"/>
      <c r="H6" s="11"/>
      <c r="I6" s="11"/>
      <c r="J6" s="9" t="s">
        <v>12</v>
      </c>
      <c r="K6" s="9" t="s">
        <v>71</v>
      </c>
      <c r="L6" s="25"/>
      <c r="M6" s="1"/>
      <c r="N6" s="1"/>
      <c r="O6" s="1"/>
      <c r="P6" s="1"/>
      <c r="Q6" s="1"/>
      <c r="R6" s="1"/>
      <c r="S6" s="1"/>
      <c r="T6" s="1"/>
      <c r="U6" s="1"/>
      <c r="V6" s="1"/>
      <c r="W6" s="9"/>
      <c r="X6" s="9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7">
      <c r="A7" s="1"/>
      <c r="B7" s="18"/>
      <c r="C7" s="1"/>
      <c r="D7" s="1"/>
      <c r="E7" s="26"/>
      <c r="F7" s="26"/>
      <c r="G7" s="26"/>
      <c r="H7" s="26"/>
      <c r="I7" s="26"/>
      <c r="J7" s="11"/>
      <c r="K7" s="11"/>
      <c r="L7" s="1"/>
      <c r="M7" s="1"/>
      <c r="O7" s="26"/>
      <c r="P7" s="1"/>
      <c r="Q7" s="1"/>
      <c r="R7" s="1"/>
      <c r="S7" s="1"/>
      <c r="T7" s="1"/>
      <c r="U7" s="26"/>
      <c r="V7" s="26"/>
      <c r="W7" s="1"/>
      <c r="X7" s="1"/>
      <c r="Y7" s="27"/>
      <c r="Z7" s="28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7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7" ht="15.6">
      <c r="A9" s="1"/>
      <c r="B9" s="149" t="s">
        <v>72</v>
      </c>
      <c r="C9" s="149"/>
      <c r="D9" s="149"/>
      <c r="E9" s="149"/>
      <c r="F9" s="149"/>
      <c r="G9" s="149"/>
      <c r="H9" s="149"/>
      <c r="I9" s="1"/>
      <c r="J9" s="149" t="s">
        <v>73</v>
      </c>
      <c r="K9" s="149"/>
      <c r="L9" s="149"/>
      <c r="M9" s="149"/>
      <c r="N9" s="149"/>
      <c r="O9" s="149"/>
      <c r="P9" s="149"/>
      <c r="Q9" s="1"/>
      <c r="R9" s="149" t="s">
        <v>74</v>
      </c>
      <c r="S9" s="149"/>
      <c r="T9" s="149"/>
      <c r="U9" s="149"/>
      <c r="V9" s="149"/>
      <c r="W9" s="149"/>
      <c r="X9" s="149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7">
      <c r="A10" s="1"/>
      <c r="B10" s="133" t="s">
        <v>13</v>
      </c>
      <c r="C10" s="135" t="s">
        <v>14</v>
      </c>
      <c r="D10" s="136"/>
      <c r="E10" s="136"/>
      <c r="F10" s="137"/>
      <c r="G10" s="29"/>
      <c r="H10" s="29"/>
      <c r="I10" s="29"/>
      <c r="J10" s="133" t="s">
        <v>13</v>
      </c>
      <c r="K10" s="135" t="s">
        <v>15</v>
      </c>
      <c r="L10" s="136"/>
      <c r="M10" s="136"/>
      <c r="N10" s="138"/>
      <c r="O10" s="29"/>
      <c r="P10" s="29"/>
      <c r="Q10" s="30"/>
      <c r="R10" s="133" t="s">
        <v>13</v>
      </c>
      <c r="S10" s="135" t="s">
        <v>16</v>
      </c>
      <c r="T10" s="136"/>
      <c r="U10" s="136"/>
      <c r="V10" s="136"/>
      <c r="W10" s="138"/>
      <c r="X10" s="29"/>
      <c r="Y10" s="29"/>
      <c r="Z10" s="30"/>
      <c r="AA10" s="12"/>
      <c r="AB10" s="31"/>
      <c r="AC10" s="31"/>
      <c r="AD10" s="122" t="s">
        <v>17</v>
      </c>
      <c r="AE10" s="123"/>
      <c r="AF10" s="1"/>
      <c r="AG10" s="1"/>
      <c r="AH10" s="1"/>
      <c r="AI10" s="18" t="s">
        <v>18</v>
      </c>
      <c r="AJ10" s="1"/>
      <c r="AK10" s="1"/>
      <c r="AL10" s="1"/>
      <c r="AM10" s="1"/>
      <c r="AN10" s="1"/>
      <c r="AO10" s="1"/>
      <c r="AP10" s="1" t="s">
        <v>19</v>
      </c>
      <c r="AQ10" s="1"/>
      <c r="AR10" s="1"/>
    </row>
    <row r="11" spans="1:47">
      <c r="A11" s="1"/>
      <c r="B11" s="134"/>
      <c r="C11" s="32" t="s">
        <v>20</v>
      </c>
      <c r="D11" s="32" t="s">
        <v>21</v>
      </c>
      <c r="E11" s="32" t="s">
        <v>22</v>
      </c>
      <c r="F11" s="32" t="s">
        <v>23</v>
      </c>
      <c r="G11" s="33" t="s">
        <v>24</v>
      </c>
      <c r="H11" s="29" t="s">
        <v>25</v>
      </c>
      <c r="I11" s="29"/>
      <c r="J11" s="134"/>
      <c r="K11" s="32" t="s">
        <v>20</v>
      </c>
      <c r="L11" s="32" t="s">
        <v>21</v>
      </c>
      <c r="M11" s="32" t="s">
        <v>22</v>
      </c>
      <c r="N11" s="32" t="s">
        <v>23</v>
      </c>
      <c r="O11" s="32" t="s">
        <v>24</v>
      </c>
      <c r="P11" s="29" t="s">
        <v>25</v>
      </c>
      <c r="Q11" s="30"/>
      <c r="R11" s="134"/>
      <c r="S11" s="32" t="s">
        <v>20</v>
      </c>
      <c r="T11" s="32" t="s">
        <v>21</v>
      </c>
      <c r="U11" s="32" t="s">
        <v>22</v>
      </c>
      <c r="V11" s="32" t="s">
        <v>23</v>
      </c>
      <c r="W11" s="32" t="s">
        <v>24</v>
      </c>
      <c r="X11" s="29" t="s">
        <v>25</v>
      </c>
      <c r="Y11" s="29"/>
      <c r="Z11" s="30"/>
      <c r="AA11" s="12"/>
      <c r="AB11" s="34" t="s">
        <v>26</v>
      </c>
      <c r="AC11" s="34" t="s">
        <v>13</v>
      </c>
      <c r="AD11" s="35" t="s">
        <v>27</v>
      </c>
      <c r="AE11" s="35" t="s">
        <v>28</v>
      </c>
      <c r="AF11" s="1"/>
      <c r="AG11" s="1"/>
      <c r="AH11" s="1"/>
      <c r="AI11" s="36" t="s">
        <v>29</v>
      </c>
      <c r="AJ11" s="37"/>
      <c r="AK11" s="38" t="s">
        <v>30</v>
      </c>
      <c r="AL11" s="39"/>
      <c r="AM11" s="39"/>
      <c r="AN11" s="1"/>
      <c r="AO11" s="1"/>
      <c r="AP11" s="36" t="s">
        <v>29</v>
      </c>
      <c r="AQ11" s="38" t="s">
        <v>30</v>
      </c>
      <c r="AR11" s="1"/>
    </row>
    <row r="12" spans="1:47">
      <c r="A12" s="1"/>
      <c r="B12" s="40">
        <v>1</v>
      </c>
      <c r="C12" s="40">
        <v>22</v>
      </c>
      <c r="D12" s="40">
        <v>95</v>
      </c>
      <c r="E12" s="40">
        <v>3.355</v>
      </c>
      <c r="F12" s="40" t="s">
        <v>32</v>
      </c>
      <c r="G12" s="41">
        <f t="shared" ref="G12:G21" si="0">+C12*D12*E12/1000000</f>
        <v>7.0119499999999994E-3</v>
      </c>
      <c r="H12" s="42">
        <f t="shared" ref="H12:H30" si="1">IFERROR(G12*VLOOKUP(F12,$AS$2:$AT$5,2,0),0)</f>
        <v>1.6828679999999998</v>
      </c>
      <c r="I12" s="29"/>
      <c r="J12" s="40">
        <v>1</v>
      </c>
      <c r="K12" s="40">
        <v>22</v>
      </c>
      <c r="L12" s="40">
        <v>95</v>
      </c>
      <c r="M12" s="40">
        <v>3.355</v>
      </c>
      <c r="N12" s="40" t="s">
        <v>32</v>
      </c>
      <c r="O12" s="44">
        <f t="shared" ref="O12:O21" si="2">+K12*L12*M12/1000000</f>
        <v>7.0119499999999994E-3</v>
      </c>
      <c r="P12" s="42">
        <f t="shared" ref="P12:P21" si="3">IFERROR(O12*VLOOKUP(N12,$AS$2:$AT$5,2,0),0)</f>
        <v>1.6828679999999998</v>
      </c>
      <c r="Q12" s="30"/>
      <c r="R12" s="40">
        <v>1</v>
      </c>
      <c r="S12" s="40">
        <v>22</v>
      </c>
      <c r="T12" s="40">
        <v>95</v>
      </c>
      <c r="U12" s="40">
        <v>3.355</v>
      </c>
      <c r="V12" s="40" t="s">
        <v>32</v>
      </c>
      <c r="W12" s="44">
        <f t="shared" ref="W12:W21" si="4">+S12*T12*U12/1000000</f>
        <v>7.0119499999999994E-3</v>
      </c>
      <c r="X12" s="42">
        <f t="shared" ref="X12:X21" si="5">IFERROR(W12*VLOOKUP(V12,$AS$2:$AT$5,2,0),0)</f>
        <v>1.6828679999999998</v>
      </c>
      <c r="Y12" s="29"/>
      <c r="Z12" s="30"/>
      <c r="AA12" s="12"/>
      <c r="AB12" s="34"/>
      <c r="AC12" s="34">
        <v>1</v>
      </c>
      <c r="AD12" s="34" t="str">
        <f t="shared" ref="AD12:AD21" si="6">+IFERROR(IF(VLOOKUP(V12,$AS$2:$AU$5,3,0)=VLOOKUP(F12,$AS$2:$AU$5,3,0),"EN GRADO",IF(VLOOKUP(V12,$AS$2:$AU$5,3,0)&gt;VLOOKUP(F12,$AS$2:$AU$5,3,0),"SOBRE GRADO","BAJO GRADO")),"")</f>
        <v>EN GRADO</v>
      </c>
      <c r="AE12" s="34" t="str">
        <f>+IFERROR(IF(VLOOKUP(N12,$AS$2:$AU$5,3,0)=VLOOKUP(F12,$AS$2:$AU$5,3,0),"EN GRADO",IF(VLOOKUP(N12,$AS$2:$AU$5,3,0)&lt;VLOOKUP(F12,$AS$2:$AU$5,3,0),"SOBRE GRADO","BAJO GRADO")),"")</f>
        <v>EN GRADO</v>
      </c>
      <c r="AF12" s="1"/>
      <c r="AG12" s="1"/>
      <c r="AH12" s="1"/>
      <c r="AI12" s="49">
        <f t="shared" ref="AI12:AI30" si="7">IF(C12="","",IF(U12=0,"RECHAZO",+E12-U12))</f>
        <v>0</v>
      </c>
      <c r="AJ12" s="1"/>
      <c r="AK12" s="49">
        <f t="shared" ref="AK12:AK30" si="8">IF(C12="","",IF(M12=0,"RECHAZO",+E12-M12))</f>
        <v>0</v>
      </c>
      <c r="AL12" s="39"/>
      <c r="AM12" s="39"/>
      <c r="AN12" s="1"/>
      <c r="AO12" s="1"/>
      <c r="AP12" s="53">
        <f t="shared" ref="AP12:AP21" si="9">+IF(AND(AI12=0,AD12="EN GRADO"),1,0)</f>
        <v>1</v>
      </c>
      <c r="AQ12" s="39">
        <f t="shared" ref="AQ12:AQ21" si="10">+IF(AND(AK12=0,AE12="EN GRADO"),1,0)</f>
        <v>1</v>
      </c>
      <c r="AR12" s="1"/>
    </row>
    <row r="13" spans="1:47">
      <c r="A13" s="1"/>
      <c r="B13" s="40">
        <v>2</v>
      </c>
      <c r="C13" s="40">
        <v>22</v>
      </c>
      <c r="D13" s="40">
        <v>95</v>
      </c>
      <c r="E13" s="40">
        <v>3.66</v>
      </c>
      <c r="F13" s="40" t="s">
        <v>32</v>
      </c>
      <c r="G13" s="41">
        <f t="shared" si="0"/>
        <v>7.6494000000000006E-3</v>
      </c>
      <c r="H13" s="42">
        <f t="shared" si="1"/>
        <v>1.8358560000000002</v>
      </c>
      <c r="I13" s="29"/>
      <c r="J13" s="40">
        <v>2</v>
      </c>
      <c r="K13" s="40">
        <v>22</v>
      </c>
      <c r="L13" s="40">
        <v>95</v>
      </c>
      <c r="M13" s="40">
        <v>3.66</v>
      </c>
      <c r="N13" s="40" t="s">
        <v>32</v>
      </c>
      <c r="O13" s="44">
        <f t="shared" si="2"/>
        <v>7.6494000000000006E-3</v>
      </c>
      <c r="P13" s="42">
        <f t="shared" si="3"/>
        <v>1.8358560000000002</v>
      </c>
      <c r="Q13" s="30"/>
      <c r="R13" s="40">
        <v>2</v>
      </c>
      <c r="S13" s="40">
        <v>22</v>
      </c>
      <c r="T13" s="40">
        <v>95</v>
      </c>
      <c r="U13" s="40">
        <v>3.66</v>
      </c>
      <c r="V13" s="40" t="s">
        <v>32</v>
      </c>
      <c r="W13" s="44">
        <f t="shared" si="4"/>
        <v>7.6494000000000006E-3</v>
      </c>
      <c r="X13" s="42">
        <f t="shared" si="5"/>
        <v>1.8358560000000002</v>
      </c>
      <c r="Y13" s="29"/>
      <c r="Z13" s="30"/>
      <c r="AA13" s="12"/>
      <c r="AB13" s="34"/>
      <c r="AC13" s="34">
        <v>2</v>
      </c>
      <c r="AD13" s="34" t="str">
        <f t="shared" si="6"/>
        <v>EN GRADO</v>
      </c>
      <c r="AE13" s="34" t="str">
        <f t="shared" ref="AE13:AE31" si="11">+IFERROR(IF(VLOOKUP(N13,$AS$2:$AU$5,3,0)=VLOOKUP(F13,$AS$2:$AU$5,3,0),"EN GRADO",IF(VLOOKUP(N13,$AS$2:$AU$5,3,0)&lt;VLOOKUP(F13,$AS$2:$AU$5,3,0),"SOBRE GRADO","BAJO GRADO")),"")</f>
        <v>EN GRADO</v>
      </c>
      <c r="AF13" s="1"/>
      <c r="AG13" s="1"/>
      <c r="AH13" s="1"/>
      <c r="AI13" s="49">
        <f t="shared" si="7"/>
        <v>0</v>
      </c>
      <c r="AJ13" s="1"/>
      <c r="AK13" s="49">
        <f t="shared" si="8"/>
        <v>0</v>
      </c>
      <c r="AL13" s="39"/>
      <c r="AM13" s="39"/>
      <c r="AN13" s="1"/>
      <c r="AO13" s="1"/>
      <c r="AP13" s="53">
        <f t="shared" si="9"/>
        <v>1</v>
      </c>
      <c r="AQ13" s="39">
        <f t="shared" si="10"/>
        <v>1</v>
      </c>
      <c r="AR13" s="1"/>
    </row>
    <row r="14" spans="1:47">
      <c r="A14" s="1"/>
      <c r="B14" s="40">
        <v>3</v>
      </c>
      <c r="C14" s="40">
        <v>22</v>
      </c>
      <c r="D14" s="40">
        <v>95</v>
      </c>
      <c r="E14" s="40">
        <v>3.05</v>
      </c>
      <c r="F14" s="40" t="s">
        <v>32</v>
      </c>
      <c r="G14" s="41">
        <f t="shared" si="0"/>
        <v>6.3745E-3</v>
      </c>
      <c r="H14" s="42">
        <f t="shared" si="1"/>
        <v>1.5298799999999999</v>
      </c>
      <c r="I14" s="29"/>
      <c r="J14" s="40">
        <v>3</v>
      </c>
      <c r="K14" s="40">
        <v>22</v>
      </c>
      <c r="L14" s="40">
        <v>95</v>
      </c>
      <c r="M14" s="40">
        <v>3.05</v>
      </c>
      <c r="N14" s="40" t="s">
        <v>32</v>
      </c>
      <c r="O14" s="44">
        <f t="shared" si="2"/>
        <v>6.3745E-3</v>
      </c>
      <c r="P14" s="42">
        <f t="shared" si="3"/>
        <v>1.5298799999999999</v>
      </c>
      <c r="Q14" s="30"/>
      <c r="R14" s="40">
        <v>3</v>
      </c>
      <c r="S14" s="40">
        <v>22</v>
      </c>
      <c r="T14" s="40">
        <v>95</v>
      </c>
      <c r="U14" s="40">
        <v>3.05</v>
      </c>
      <c r="V14" s="40" t="s">
        <v>32</v>
      </c>
      <c r="W14" s="44">
        <f t="shared" si="4"/>
        <v>6.3745E-3</v>
      </c>
      <c r="X14" s="42">
        <f t="shared" si="5"/>
        <v>1.5298799999999999</v>
      </c>
      <c r="Y14" s="29"/>
      <c r="Z14" s="30"/>
      <c r="AA14" s="12"/>
      <c r="AB14" s="34"/>
      <c r="AC14" s="34">
        <v>3</v>
      </c>
      <c r="AD14" s="34" t="str">
        <f t="shared" si="6"/>
        <v>EN GRADO</v>
      </c>
      <c r="AE14" s="34" t="str">
        <f t="shared" si="11"/>
        <v>EN GRADO</v>
      </c>
      <c r="AF14" s="1"/>
      <c r="AG14" s="1"/>
      <c r="AH14" s="1"/>
      <c r="AI14" s="49">
        <f t="shared" si="7"/>
        <v>0</v>
      </c>
      <c r="AJ14" s="1"/>
      <c r="AK14" s="49">
        <f t="shared" si="8"/>
        <v>0</v>
      </c>
      <c r="AL14" s="39"/>
      <c r="AM14" s="39"/>
      <c r="AN14" s="1"/>
      <c r="AO14" s="1"/>
      <c r="AP14" s="53">
        <f t="shared" si="9"/>
        <v>1</v>
      </c>
      <c r="AQ14" s="39">
        <f t="shared" si="10"/>
        <v>1</v>
      </c>
      <c r="AR14" s="1"/>
    </row>
    <row r="15" spans="1:47">
      <c r="A15" s="1"/>
      <c r="B15" s="40">
        <v>4</v>
      </c>
      <c r="C15" s="40">
        <v>22</v>
      </c>
      <c r="D15" s="40">
        <v>95</v>
      </c>
      <c r="E15" s="40">
        <v>3.66</v>
      </c>
      <c r="F15" s="40" t="s">
        <v>32</v>
      </c>
      <c r="G15" s="41">
        <f t="shared" si="0"/>
        <v>7.6494000000000006E-3</v>
      </c>
      <c r="H15" s="42">
        <f t="shared" si="1"/>
        <v>1.8358560000000002</v>
      </c>
      <c r="I15" s="29"/>
      <c r="J15" s="40">
        <v>4</v>
      </c>
      <c r="K15" s="40">
        <v>22</v>
      </c>
      <c r="L15" s="40">
        <v>95</v>
      </c>
      <c r="M15" s="40">
        <v>3.66</v>
      </c>
      <c r="N15" s="40" t="s">
        <v>31</v>
      </c>
      <c r="O15" s="44">
        <f t="shared" si="2"/>
        <v>7.6494000000000006E-3</v>
      </c>
      <c r="P15" s="42">
        <f t="shared" si="3"/>
        <v>1.6063740000000002</v>
      </c>
      <c r="Q15" s="30"/>
      <c r="R15" s="40">
        <v>4</v>
      </c>
      <c r="S15" s="40">
        <v>22</v>
      </c>
      <c r="T15" s="40">
        <v>95</v>
      </c>
      <c r="U15" s="40">
        <v>3.66</v>
      </c>
      <c r="V15" s="40" t="s">
        <v>32</v>
      </c>
      <c r="W15" s="44">
        <f t="shared" si="4"/>
        <v>7.6494000000000006E-3</v>
      </c>
      <c r="X15" s="42">
        <f t="shared" si="5"/>
        <v>1.8358560000000002</v>
      </c>
      <c r="Y15" s="29"/>
      <c r="Z15" s="30"/>
      <c r="AA15" s="12"/>
      <c r="AB15" s="34"/>
      <c r="AC15" s="34">
        <v>4</v>
      </c>
      <c r="AD15" s="34" t="str">
        <f t="shared" si="6"/>
        <v>EN GRADO</v>
      </c>
      <c r="AE15" s="34" t="str">
        <f t="shared" si="11"/>
        <v>BAJO GRADO</v>
      </c>
      <c r="AF15" s="1"/>
      <c r="AG15" s="1"/>
      <c r="AH15" s="1"/>
      <c r="AI15" s="49">
        <f t="shared" si="7"/>
        <v>0</v>
      </c>
      <c r="AJ15" s="1"/>
      <c r="AK15" s="49">
        <f t="shared" si="8"/>
        <v>0</v>
      </c>
      <c r="AL15" s="39"/>
      <c r="AM15" s="39"/>
      <c r="AN15" s="1"/>
      <c r="AO15" s="1"/>
      <c r="AP15" s="53">
        <f t="shared" si="9"/>
        <v>1</v>
      </c>
      <c r="AQ15" s="39">
        <f t="shared" si="10"/>
        <v>0</v>
      </c>
      <c r="AR15" s="1"/>
    </row>
    <row r="16" spans="1:47">
      <c r="A16" s="1"/>
      <c r="B16" s="40">
        <v>5</v>
      </c>
      <c r="C16" s="40">
        <v>22</v>
      </c>
      <c r="D16" s="40">
        <v>95</v>
      </c>
      <c r="E16" s="40">
        <v>3.66</v>
      </c>
      <c r="F16" s="40" t="s">
        <v>32</v>
      </c>
      <c r="G16" s="41">
        <f t="shared" si="0"/>
        <v>7.6494000000000006E-3</v>
      </c>
      <c r="H16" s="42">
        <f t="shared" si="1"/>
        <v>1.8358560000000002</v>
      </c>
      <c r="I16" s="29"/>
      <c r="J16" s="40">
        <v>5</v>
      </c>
      <c r="K16" s="40">
        <v>22</v>
      </c>
      <c r="L16" s="40">
        <v>95</v>
      </c>
      <c r="M16" s="40">
        <v>3.66</v>
      </c>
      <c r="N16" s="40" t="s">
        <v>32</v>
      </c>
      <c r="O16" s="44">
        <f t="shared" si="2"/>
        <v>7.6494000000000006E-3</v>
      </c>
      <c r="P16" s="42">
        <f t="shared" si="3"/>
        <v>1.8358560000000002</v>
      </c>
      <c r="Q16" s="30"/>
      <c r="R16" s="40">
        <v>5</v>
      </c>
      <c r="S16" s="40">
        <v>22</v>
      </c>
      <c r="T16" s="40">
        <v>95</v>
      </c>
      <c r="U16" s="40">
        <v>3.66</v>
      </c>
      <c r="V16" s="40" t="s">
        <v>32</v>
      </c>
      <c r="W16" s="44">
        <f t="shared" si="4"/>
        <v>7.6494000000000006E-3</v>
      </c>
      <c r="X16" s="42">
        <f t="shared" si="5"/>
        <v>1.8358560000000002</v>
      </c>
      <c r="Y16" s="29"/>
      <c r="Z16" s="30"/>
      <c r="AA16" s="12"/>
      <c r="AB16" s="34"/>
      <c r="AC16" s="34">
        <v>5</v>
      </c>
      <c r="AD16" s="34" t="str">
        <f t="shared" si="6"/>
        <v>EN GRADO</v>
      </c>
      <c r="AE16" s="34" t="str">
        <f t="shared" si="11"/>
        <v>EN GRADO</v>
      </c>
      <c r="AF16" s="1"/>
      <c r="AG16" s="1"/>
      <c r="AH16" s="1"/>
      <c r="AI16" s="49">
        <f t="shared" si="7"/>
        <v>0</v>
      </c>
      <c r="AJ16" s="1"/>
      <c r="AK16" s="49">
        <f t="shared" si="8"/>
        <v>0</v>
      </c>
      <c r="AL16" s="39"/>
      <c r="AM16" s="39"/>
      <c r="AN16" s="1"/>
      <c r="AO16" s="1"/>
      <c r="AP16" s="53">
        <f t="shared" si="9"/>
        <v>1</v>
      </c>
      <c r="AQ16" s="39">
        <f t="shared" si="10"/>
        <v>1</v>
      </c>
      <c r="AR16" s="1"/>
    </row>
    <row r="17" spans="1:44">
      <c r="A17" s="1"/>
      <c r="B17" s="40">
        <v>6</v>
      </c>
      <c r="C17" s="40">
        <v>22</v>
      </c>
      <c r="D17" s="40">
        <v>95</v>
      </c>
      <c r="E17" s="40">
        <v>3.66</v>
      </c>
      <c r="F17" s="40" t="s">
        <v>32</v>
      </c>
      <c r="G17" s="41">
        <f t="shared" si="0"/>
        <v>7.6494000000000006E-3</v>
      </c>
      <c r="H17" s="42">
        <f t="shared" si="1"/>
        <v>1.8358560000000002</v>
      </c>
      <c r="I17" s="29"/>
      <c r="J17" s="40">
        <v>6</v>
      </c>
      <c r="K17" s="40">
        <v>22</v>
      </c>
      <c r="L17" s="40">
        <v>95</v>
      </c>
      <c r="M17" s="40">
        <v>3.66</v>
      </c>
      <c r="N17" s="40" t="s">
        <v>32</v>
      </c>
      <c r="O17" s="44">
        <f t="shared" si="2"/>
        <v>7.6494000000000006E-3</v>
      </c>
      <c r="P17" s="42">
        <f t="shared" si="3"/>
        <v>1.8358560000000002</v>
      </c>
      <c r="Q17" s="30"/>
      <c r="R17" s="40">
        <v>6</v>
      </c>
      <c r="S17" s="40">
        <v>22</v>
      </c>
      <c r="T17" s="40">
        <v>95</v>
      </c>
      <c r="U17" s="40">
        <v>3.66</v>
      </c>
      <c r="V17" s="40" t="s">
        <v>32</v>
      </c>
      <c r="W17" s="44">
        <f t="shared" si="4"/>
        <v>7.6494000000000006E-3</v>
      </c>
      <c r="X17" s="42">
        <f t="shared" si="5"/>
        <v>1.8358560000000002</v>
      </c>
      <c r="Y17" s="29"/>
      <c r="Z17" s="30"/>
      <c r="AA17" s="12"/>
      <c r="AB17" s="34"/>
      <c r="AC17" s="34">
        <v>6</v>
      </c>
      <c r="AD17" s="34" t="str">
        <f t="shared" si="6"/>
        <v>EN GRADO</v>
      </c>
      <c r="AE17" s="34" t="str">
        <f t="shared" si="11"/>
        <v>EN GRADO</v>
      </c>
      <c r="AF17" s="1"/>
      <c r="AG17" s="1"/>
      <c r="AH17" s="1"/>
      <c r="AI17" s="49">
        <f t="shared" si="7"/>
        <v>0</v>
      </c>
      <c r="AJ17" s="1"/>
      <c r="AK17" s="49">
        <f t="shared" si="8"/>
        <v>0</v>
      </c>
      <c r="AL17" s="39"/>
      <c r="AM17" s="39"/>
      <c r="AN17" s="1"/>
      <c r="AO17" s="1"/>
      <c r="AP17" s="53">
        <f t="shared" si="9"/>
        <v>1</v>
      </c>
      <c r="AQ17" s="39">
        <f t="shared" si="10"/>
        <v>1</v>
      </c>
      <c r="AR17" s="1"/>
    </row>
    <row r="18" spans="1:44">
      <c r="A18" s="1"/>
      <c r="B18" s="40">
        <v>7</v>
      </c>
      <c r="C18" s="40">
        <v>22</v>
      </c>
      <c r="D18" s="40">
        <v>95</v>
      </c>
      <c r="E18" s="40">
        <v>3.66</v>
      </c>
      <c r="F18" s="40" t="s">
        <v>32</v>
      </c>
      <c r="G18" s="41">
        <f t="shared" si="0"/>
        <v>7.6494000000000006E-3</v>
      </c>
      <c r="H18" s="42">
        <f t="shared" si="1"/>
        <v>1.8358560000000002</v>
      </c>
      <c r="I18" s="29"/>
      <c r="J18" s="40">
        <v>7</v>
      </c>
      <c r="K18" s="40">
        <v>22</v>
      </c>
      <c r="L18" s="40">
        <v>95</v>
      </c>
      <c r="M18" s="40">
        <v>3.66</v>
      </c>
      <c r="N18" s="40" t="s">
        <v>31</v>
      </c>
      <c r="O18" s="44">
        <f t="shared" si="2"/>
        <v>7.6494000000000006E-3</v>
      </c>
      <c r="P18" s="42">
        <f t="shared" si="3"/>
        <v>1.6063740000000002</v>
      </c>
      <c r="Q18" s="30"/>
      <c r="R18" s="40">
        <v>7</v>
      </c>
      <c r="S18" s="40">
        <v>22</v>
      </c>
      <c r="T18" s="40">
        <v>95</v>
      </c>
      <c r="U18" s="40">
        <v>3.66</v>
      </c>
      <c r="V18" s="40" t="s">
        <v>32</v>
      </c>
      <c r="W18" s="44">
        <f t="shared" si="4"/>
        <v>7.6494000000000006E-3</v>
      </c>
      <c r="X18" s="42">
        <f t="shared" si="5"/>
        <v>1.8358560000000002</v>
      </c>
      <c r="Y18" s="29"/>
      <c r="Z18" s="30"/>
      <c r="AA18" s="12"/>
      <c r="AB18" s="34"/>
      <c r="AC18" s="34">
        <v>7</v>
      </c>
      <c r="AD18" s="34" t="str">
        <f t="shared" si="6"/>
        <v>EN GRADO</v>
      </c>
      <c r="AE18" s="34" t="str">
        <f t="shared" si="11"/>
        <v>BAJO GRADO</v>
      </c>
      <c r="AF18" s="1"/>
      <c r="AG18" s="1"/>
      <c r="AH18" s="1"/>
      <c r="AI18" s="49">
        <f t="shared" si="7"/>
        <v>0</v>
      </c>
      <c r="AJ18" s="1"/>
      <c r="AK18" s="49">
        <f t="shared" si="8"/>
        <v>0</v>
      </c>
      <c r="AL18" s="39"/>
      <c r="AM18" s="39"/>
      <c r="AN18" s="1"/>
      <c r="AO18" s="1"/>
      <c r="AP18" s="53">
        <f t="shared" si="9"/>
        <v>1</v>
      </c>
      <c r="AQ18" s="39">
        <f t="shared" si="10"/>
        <v>0</v>
      </c>
      <c r="AR18" s="1"/>
    </row>
    <row r="19" spans="1:44">
      <c r="A19" s="1"/>
      <c r="B19" s="40">
        <v>8</v>
      </c>
      <c r="C19" s="40">
        <v>22</v>
      </c>
      <c r="D19" s="40">
        <v>95</v>
      </c>
      <c r="E19" s="40">
        <v>3.66</v>
      </c>
      <c r="F19" s="40" t="s">
        <v>32</v>
      </c>
      <c r="G19" s="41">
        <f t="shared" si="0"/>
        <v>7.6494000000000006E-3</v>
      </c>
      <c r="H19" s="42">
        <f t="shared" si="1"/>
        <v>1.8358560000000002</v>
      </c>
      <c r="I19" s="29"/>
      <c r="J19" s="40">
        <v>8</v>
      </c>
      <c r="K19" s="40">
        <v>22</v>
      </c>
      <c r="L19" s="40">
        <v>95</v>
      </c>
      <c r="M19" s="40">
        <v>3.66</v>
      </c>
      <c r="N19" s="40" t="s">
        <v>32</v>
      </c>
      <c r="O19" s="44">
        <f t="shared" si="2"/>
        <v>7.6494000000000006E-3</v>
      </c>
      <c r="P19" s="42">
        <f t="shared" si="3"/>
        <v>1.8358560000000002</v>
      </c>
      <c r="Q19" s="30"/>
      <c r="R19" s="40">
        <v>8</v>
      </c>
      <c r="S19" s="40">
        <v>22</v>
      </c>
      <c r="T19" s="40">
        <v>95</v>
      </c>
      <c r="U19" s="40">
        <v>3.66</v>
      </c>
      <c r="V19" s="40" t="s">
        <v>32</v>
      </c>
      <c r="W19" s="44">
        <f t="shared" si="4"/>
        <v>7.6494000000000006E-3</v>
      </c>
      <c r="X19" s="42">
        <f t="shared" si="5"/>
        <v>1.8358560000000002</v>
      </c>
      <c r="Y19" s="29"/>
      <c r="Z19" s="30"/>
      <c r="AA19" s="12"/>
      <c r="AB19" s="34"/>
      <c r="AC19" s="34">
        <v>8</v>
      </c>
      <c r="AD19" s="34" t="str">
        <f t="shared" si="6"/>
        <v>EN GRADO</v>
      </c>
      <c r="AE19" s="34" t="str">
        <f t="shared" si="11"/>
        <v>EN GRADO</v>
      </c>
      <c r="AF19" s="1"/>
      <c r="AG19" s="1"/>
      <c r="AH19" s="1"/>
      <c r="AI19" s="49">
        <f t="shared" si="7"/>
        <v>0</v>
      </c>
      <c r="AJ19" s="1"/>
      <c r="AK19" s="49">
        <f t="shared" si="8"/>
        <v>0</v>
      </c>
      <c r="AL19" s="39"/>
      <c r="AM19" s="39"/>
      <c r="AN19" s="1"/>
      <c r="AO19" s="1"/>
      <c r="AP19" s="53">
        <f t="shared" si="9"/>
        <v>1</v>
      </c>
      <c r="AQ19" s="39">
        <f t="shared" si="10"/>
        <v>1</v>
      </c>
      <c r="AR19" s="1"/>
    </row>
    <row r="20" spans="1:44">
      <c r="A20" s="1"/>
      <c r="B20" s="40">
        <v>9</v>
      </c>
      <c r="C20" s="40">
        <v>22</v>
      </c>
      <c r="D20" s="40">
        <v>95</v>
      </c>
      <c r="E20" s="40">
        <v>3.66</v>
      </c>
      <c r="F20" s="40" t="s">
        <v>32</v>
      </c>
      <c r="G20" s="41">
        <f t="shared" si="0"/>
        <v>7.6494000000000006E-3</v>
      </c>
      <c r="H20" s="42">
        <f t="shared" si="1"/>
        <v>1.8358560000000002</v>
      </c>
      <c r="I20" s="29"/>
      <c r="J20" s="40">
        <v>9</v>
      </c>
      <c r="K20" s="40">
        <v>22</v>
      </c>
      <c r="L20" s="40">
        <v>95</v>
      </c>
      <c r="M20" s="40">
        <v>3.66</v>
      </c>
      <c r="N20" s="40" t="s">
        <v>31</v>
      </c>
      <c r="O20" s="44">
        <f t="shared" si="2"/>
        <v>7.6494000000000006E-3</v>
      </c>
      <c r="P20" s="42">
        <f t="shared" si="3"/>
        <v>1.6063740000000002</v>
      </c>
      <c r="Q20" s="30"/>
      <c r="R20" s="40">
        <v>9</v>
      </c>
      <c r="S20" s="40">
        <v>22</v>
      </c>
      <c r="T20" s="40">
        <v>95</v>
      </c>
      <c r="U20" s="40">
        <v>3.66</v>
      </c>
      <c r="V20" s="40" t="s">
        <v>32</v>
      </c>
      <c r="W20" s="44">
        <f t="shared" si="4"/>
        <v>7.6494000000000006E-3</v>
      </c>
      <c r="X20" s="42">
        <f t="shared" si="5"/>
        <v>1.8358560000000002</v>
      </c>
      <c r="Y20" s="29"/>
      <c r="Z20" s="30"/>
      <c r="AA20" s="12"/>
      <c r="AB20" s="34"/>
      <c r="AC20" s="34">
        <v>9</v>
      </c>
      <c r="AD20" s="34" t="str">
        <f t="shared" si="6"/>
        <v>EN GRADO</v>
      </c>
      <c r="AE20" s="34" t="str">
        <f t="shared" si="11"/>
        <v>BAJO GRADO</v>
      </c>
      <c r="AF20" s="1"/>
      <c r="AG20" s="1"/>
      <c r="AH20" s="1"/>
      <c r="AI20" s="49">
        <f t="shared" si="7"/>
        <v>0</v>
      </c>
      <c r="AJ20" s="1"/>
      <c r="AK20" s="49">
        <f t="shared" si="8"/>
        <v>0</v>
      </c>
      <c r="AL20" s="39"/>
      <c r="AM20" s="39"/>
      <c r="AN20" s="1"/>
      <c r="AO20" s="1"/>
      <c r="AP20" s="53">
        <f t="shared" si="9"/>
        <v>1</v>
      </c>
      <c r="AQ20" s="39">
        <f t="shared" si="10"/>
        <v>0</v>
      </c>
      <c r="AR20" s="1"/>
    </row>
    <row r="21" spans="1:44">
      <c r="A21" s="1"/>
      <c r="B21" s="40">
        <v>10</v>
      </c>
      <c r="C21" s="40">
        <v>22</v>
      </c>
      <c r="D21" s="40">
        <v>95</v>
      </c>
      <c r="E21" s="40">
        <v>3.66</v>
      </c>
      <c r="F21" s="40" t="s">
        <v>32</v>
      </c>
      <c r="G21" s="41">
        <f t="shared" si="0"/>
        <v>7.6494000000000006E-3</v>
      </c>
      <c r="H21" s="42">
        <f t="shared" si="1"/>
        <v>1.8358560000000002</v>
      </c>
      <c r="I21" s="29"/>
      <c r="J21" s="40">
        <v>10</v>
      </c>
      <c r="K21" s="40">
        <v>22</v>
      </c>
      <c r="L21" s="40">
        <v>95</v>
      </c>
      <c r="M21" s="40">
        <v>3.66</v>
      </c>
      <c r="N21" s="40" t="s">
        <v>31</v>
      </c>
      <c r="O21" s="44">
        <f t="shared" si="2"/>
        <v>7.6494000000000006E-3</v>
      </c>
      <c r="P21" s="42">
        <f t="shared" si="3"/>
        <v>1.6063740000000002</v>
      </c>
      <c r="Q21" s="30"/>
      <c r="R21" s="40">
        <v>10</v>
      </c>
      <c r="S21" s="40">
        <v>22</v>
      </c>
      <c r="T21" s="40">
        <v>95</v>
      </c>
      <c r="U21" s="40">
        <v>3.66</v>
      </c>
      <c r="V21" s="40" t="s">
        <v>32</v>
      </c>
      <c r="W21" s="44">
        <f t="shared" si="4"/>
        <v>7.6494000000000006E-3</v>
      </c>
      <c r="X21" s="42">
        <f t="shared" si="5"/>
        <v>1.8358560000000002</v>
      </c>
      <c r="Y21" s="29"/>
      <c r="Z21" s="30"/>
      <c r="AA21" s="12"/>
      <c r="AB21" s="34"/>
      <c r="AC21" s="34">
        <v>10</v>
      </c>
      <c r="AD21" s="34" t="str">
        <f t="shared" si="6"/>
        <v>EN GRADO</v>
      </c>
      <c r="AE21" s="34" t="str">
        <f t="shared" si="11"/>
        <v>BAJO GRADO</v>
      </c>
      <c r="AF21" s="1"/>
      <c r="AG21" s="1"/>
      <c r="AH21" s="1"/>
      <c r="AI21" s="49">
        <f t="shared" si="7"/>
        <v>0</v>
      </c>
      <c r="AJ21" s="1"/>
      <c r="AK21" s="49">
        <f t="shared" si="8"/>
        <v>0</v>
      </c>
      <c r="AL21" s="39"/>
      <c r="AM21" s="39"/>
      <c r="AN21" s="1"/>
      <c r="AO21" s="1"/>
      <c r="AP21" s="53">
        <f t="shared" si="9"/>
        <v>1</v>
      </c>
      <c r="AQ21" s="39">
        <f t="shared" si="10"/>
        <v>0</v>
      </c>
      <c r="AR21" s="1"/>
    </row>
    <row r="22" spans="1:44" ht="18.75" customHeight="1">
      <c r="A22" s="1"/>
      <c r="B22" s="40">
        <v>11</v>
      </c>
      <c r="C22" s="40">
        <v>22</v>
      </c>
      <c r="D22" s="40">
        <v>95</v>
      </c>
      <c r="E22" s="40">
        <v>3.355</v>
      </c>
      <c r="F22" s="40" t="s">
        <v>32</v>
      </c>
      <c r="G22" s="41">
        <f t="shared" ref="G22:G31" si="12">+C22*D22*E22/1000000</f>
        <v>7.0119499999999994E-3</v>
      </c>
      <c r="H22" s="42">
        <f t="shared" si="1"/>
        <v>1.6828679999999998</v>
      </c>
      <c r="I22" s="43"/>
      <c r="J22" s="40">
        <v>11</v>
      </c>
      <c r="K22" s="40">
        <v>22</v>
      </c>
      <c r="L22" s="40">
        <v>95</v>
      </c>
      <c r="M22" s="40">
        <v>3.355</v>
      </c>
      <c r="N22" s="40" t="s">
        <v>31</v>
      </c>
      <c r="O22" s="44">
        <f t="shared" ref="O22:O31" si="13">+K22*L22*M22/1000000</f>
        <v>7.0119499999999994E-3</v>
      </c>
      <c r="P22" s="42">
        <f>IFERROR(O22*VLOOKUP(N22,$AS$2:$AT$5,2,0),0)</f>
        <v>1.4725094999999999</v>
      </c>
      <c r="Q22" s="45"/>
      <c r="R22" s="40">
        <v>11</v>
      </c>
      <c r="S22" s="40">
        <v>22</v>
      </c>
      <c r="T22" s="40">
        <v>95</v>
      </c>
      <c r="U22" s="40">
        <v>3.355</v>
      </c>
      <c r="V22" s="40" t="s">
        <v>32</v>
      </c>
      <c r="W22" s="44">
        <f t="shared" ref="W22:W31" si="14">+S22*T22*U22/1000000</f>
        <v>7.0119499999999994E-3</v>
      </c>
      <c r="X22" s="42">
        <f t="shared" ref="X22:X31" si="15">IFERROR(W22*VLOOKUP(V22,$AS$2:$AT$5,2,0),0)</f>
        <v>1.6828679999999998</v>
      </c>
      <c r="Y22" s="46"/>
      <c r="Z22" s="45"/>
      <c r="AA22" s="47"/>
      <c r="AB22" s="48" t="s">
        <v>67</v>
      </c>
      <c r="AC22" s="34">
        <v>11</v>
      </c>
      <c r="AD22" s="34" t="str">
        <f>+IFERROR(IF(VLOOKUP(V22,$AS$2:$AU$5,3,0)=VLOOKUP(F22,$AS$2:$AU$5,3,0),"EN GRADO",IF(VLOOKUP(V22,$AS$2:$AU$5,3,0)&gt;VLOOKUP(F22,$AS$2:$AU$5,3,0),"SOBRE GRADO","BAJO GRADO")),"")</f>
        <v>EN GRADO</v>
      </c>
      <c r="AE22" s="34" t="str">
        <f t="shared" si="11"/>
        <v>BAJO GRADO</v>
      </c>
      <c r="AF22" s="4">
        <f>MATCH(T22,D22)</f>
        <v>1</v>
      </c>
      <c r="AG22" s="1"/>
      <c r="AH22" s="1"/>
      <c r="AI22" s="49">
        <f t="shared" si="7"/>
        <v>0</v>
      </c>
      <c r="AJ22" s="50"/>
      <c r="AK22" s="49">
        <f t="shared" si="8"/>
        <v>0</v>
      </c>
      <c r="AL22" s="51"/>
      <c r="AM22" s="52"/>
      <c r="AN22" s="1"/>
      <c r="AO22" s="1"/>
      <c r="AP22" s="53">
        <f>+IF(AND(AI22=0,AD22="EN GRADO"),1,0)</f>
        <v>1</v>
      </c>
      <c r="AQ22" s="39">
        <f>+IF(AND(AK22=0,AE22="EN GRADO"),1,0)</f>
        <v>0</v>
      </c>
      <c r="AR22" s="1"/>
    </row>
    <row r="23" spans="1:44">
      <c r="A23" s="1"/>
      <c r="B23" s="40">
        <v>12</v>
      </c>
      <c r="C23" s="40">
        <v>22</v>
      </c>
      <c r="D23" s="40">
        <v>95</v>
      </c>
      <c r="E23" s="40">
        <v>3.355</v>
      </c>
      <c r="F23" s="40" t="s">
        <v>32</v>
      </c>
      <c r="G23" s="41">
        <f t="shared" si="12"/>
        <v>7.0119499999999994E-3</v>
      </c>
      <c r="H23" s="42">
        <f t="shared" si="1"/>
        <v>1.6828679999999998</v>
      </c>
      <c r="I23" s="43"/>
      <c r="J23" s="40">
        <v>12</v>
      </c>
      <c r="K23" s="40">
        <v>22</v>
      </c>
      <c r="L23" s="40">
        <v>95</v>
      </c>
      <c r="M23" s="40">
        <v>3.355</v>
      </c>
      <c r="N23" s="40" t="s">
        <v>31</v>
      </c>
      <c r="O23" s="44">
        <f t="shared" si="13"/>
        <v>7.0119499999999994E-3</v>
      </c>
      <c r="P23" s="42">
        <f t="shared" ref="P23:P31" si="16">IFERROR(O23*VLOOKUP(N23,$AS$2:$AT$5,2,0),0)</f>
        <v>1.4725094999999999</v>
      </c>
      <c r="Q23" s="45"/>
      <c r="R23" s="40">
        <v>12</v>
      </c>
      <c r="S23" s="40">
        <v>22</v>
      </c>
      <c r="T23" s="40">
        <v>95</v>
      </c>
      <c r="U23" s="40">
        <v>3.355</v>
      </c>
      <c r="V23" s="40" t="s">
        <v>32</v>
      </c>
      <c r="W23" s="44">
        <f t="shared" si="14"/>
        <v>7.0119499999999994E-3</v>
      </c>
      <c r="X23" s="42">
        <f t="shared" si="15"/>
        <v>1.6828679999999998</v>
      </c>
      <c r="Y23" s="46"/>
      <c r="Z23" s="45"/>
      <c r="AA23" s="47"/>
      <c r="AB23" s="48"/>
      <c r="AC23" s="34">
        <v>12</v>
      </c>
      <c r="AD23" s="34" t="str">
        <f t="shared" ref="AD23:AD31" si="17">+IFERROR(IF(VLOOKUP(V23,$AS$2:$AU$5,3,0)=VLOOKUP(F23,$AS$2:$AU$5,3,0),"EN GRADO",IF(VLOOKUP(V23,$AS$2:$AU$5,3,0)&gt;VLOOKUP(F23,$AS$2:$AU$5,3,0),"SOBRE GRADO","BAJO GRADO")),"")</f>
        <v>EN GRADO</v>
      </c>
      <c r="AE23" s="34" t="str">
        <f t="shared" si="11"/>
        <v>BAJO GRADO</v>
      </c>
      <c r="AF23" s="4">
        <f>MATCH(T23,D23)</f>
        <v>1</v>
      </c>
      <c r="AG23" s="1"/>
      <c r="AH23" s="1"/>
      <c r="AI23" s="49">
        <f t="shared" si="7"/>
        <v>0</v>
      </c>
      <c r="AJ23" s="50"/>
      <c r="AK23" s="49">
        <f t="shared" si="8"/>
        <v>0</v>
      </c>
      <c r="AL23" s="54"/>
      <c r="AM23" s="55"/>
      <c r="AN23" s="1"/>
      <c r="AO23" s="1"/>
      <c r="AP23" s="53">
        <f t="shared" ref="AP23:AP31" si="18">+IF(AND(AI23=0,AD23="EN GRADO"),1,0)</f>
        <v>1</v>
      </c>
      <c r="AQ23" s="39">
        <f t="shared" ref="AQ23:AQ31" si="19">+IF(AND(AK23=0,AE23="EN GRADO"),1,0)</f>
        <v>0</v>
      </c>
      <c r="AR23" s="1"/>
    </row>
    <row r="24" spans="1:44">
      <c r="A24" s="1"/>
      <c r="B24" s="40">
        <v>13</v>
      </c>
      <c r="C24" s="40">
        <v>22</v>
      </c>
      <c r="D24" s="40">
        <v>95</v>
      </c>
      <c r="E24" s="40">
        <v>3.05</v>
      </c>
      <c r="F24" s="40" t="s">
        <v>32</v>
      </c>
      <c r="G24" s="41">
        <f t="shared" si="12"/>
        <v>6.3745E-3</v>
      </c>
      <c r="H24" s="42">
        <f t="shared" si="1"/>
        <v>1.5298799999999999</v>
      </c>
      <c r="I24" s="43"/>
      <c r="J24" s="40">
        <v>13</v>
      </c>
      <c r="K24" s="40">
        <v>22</v>
      </c>
      <c r="L24" s="40">
        <v>95</v>
      </c>
      <c r="M24" s="40">
        <v>3.05</v>
      </c>
      <c r="N24" s="40" t="s">
        <v>31</v>
      </c>
      <c r="O24" s="44">
        <f t="shared" si="13"/>
        <v>6.3745E-3</v>
      </c>
      <c r="P24" s="42">
        <f t="shared" si="16"/>
        <v>1.3386450000000001</v>
      </c>
      <c r="Q24" s="45"/>
      <c r="R24" s="40">
        <v>13</v>
      </c>
      <c r="S24" s="40">
        <v>22</v>
      </c>
      <c r="T24" s="40">
        <v>95</v>
      </c>
      <c r="U24" s="40">
        <v>3.05</v>
      </c>
      <c r="V24" s="40" t="s">
        <v>32</v>
      </c>
      <c r="W24" s="44">
        <f t="shared" si="14"/>
        <v>6.3745E-3</v>
      </c>
      <c r="X24" s="42">
        <f t="shared" si="15"/>
        <v>1.5298799999999999</v>
      </c>
      <c r="Y24" s="46"/>
      <c r="Z24" s="45"/>
      <c r="AA24" s="56"/>
      <c r="AB24" s="48"/>
      <c r="AC24" s="34">
        <v>13</v>
      </c>
      <c r="AD24" s="34" t="str">
        <f t="shared" si="17"/>
        <v>EN GRADO</v>
      </c>
      <c r="AE24" s="34" t="str">
        <f t="shared" si="11"/>
        <v>BAJO GRADO</v>
      </c>
      <c r="AF24" s="4">
        <f>MATCH(T24,D24)</f>
        <v>1</v>
      </c>
      <c r="AG24" s="1"/>
      <c r="AH24" s="1"/>
      <c r="AI24" s="49">
        <f t="shared" si="7"/>
        <v>0</v>
      </c>
      <c r="AJ24" s="50"/>
      <c r="AK24" s="49">
        <f t="shared" si="8"/>
        <v>0</v>
      </c>
      <c r="AL24" s="54"/>
      <c r="AM24" s="57"/>
      <c r="AN24" s="1"/>
      <c r="AO24" s="1"/>
      <c r="AP24" s="53">
        <f t="shared" si="18"/>
        <v>1</v>
      </c>
      <c r="AQ24" s="39">
        <f t="shared" si="19"/>
        <v>0</v>
      </c>
      <c r="AR24" s="1"/>
    </row>
    <row r="25" spans="1:44">
      <c r="A25" s="1"/>
      <c r="B25" s="40">
        <v>14</v>
      </c>
      <c r="C25" s="40">
        <v>22</v>
      </c>
      <c r="D25" s="40">
        <v>95</v>
      </c>
      <c r="E25" s="40">
        <v>3.66</v>
      </c>
      <c r="F25" s="40" t="s">
        <v>32</v>
      </c>
      <c r="G25" s="58">
        <f t="shared" si="12"/>
        <v>7.6494000000000006E-3</v>
      </c>
      <c r="H25" s="42">
        <f t="shared" si="1"/>
        <v>1.8358560000000002</v>
      </c>
      <c r="I25" s="59"/>
      <c r="J25" s="40">
        <v>14</v>
      </c>
      <c r="K25" s="40">
        <v>22</v>
      </c>
      <c r="L25" s="40">
        <v>95</v>
      </c>
      <c r="M25" s="40">
        <v>3.66</v>
      </c>
      <c r="N25" s="40" t="s">
        <v>31</v>
      </c>
      <c r="O25" s="60">
        <f t="shared" si="13"/>
        <v>7.6494000000000006E-3</v>
      </c>
      <c r="P25" s="42">
        <f t="shared" si="16"/>
        <v>1.6063740000000002</v>
      </c>
      <c r="Q25" s="61"/>
      <c r="R25" s="40">
        <v>14</v>
      </c>
      <c r="S25" s="40">
        <v>22</v>
      </c>
      <c r="T25" s="40">
        <v>95</v>
      </c>
      <c r="U25" s="40">
        <v>3.66</v>
      </c>
      <c r="V25" s="40" t="s">
        <v>32</v>
      </c>
      <c r="W25" s="60">
        <f t="shared" si="14"/>
        <v>7.6494000000000006E-3</v>
      </c>
      <c r="X25" s="42">
        <f t="shared" si="15"/>
        <v>1.8358560000000002</v>
      </c>
      <c r="Y25" s="62"/>
      <c r="Z25" s="45"/>
      <c r="AA25" s="47"/>
      <c r="AB25" s="48"/>
      <c r="AC25" s="34">
        <v>14</v>
      </c>
      <c r="AD25" s="34" t="str">
        <f t="shared" si="17"/>
        <v>EN GRADO</v>
      </c>
      <c r="AE25" s="34" t="str">
        <f t="shared" si="11"/>
        <v>BAJO GRADO</v>
      </c>
      <c r="AF25" s="4"/>
      <c r="AG25" s="1"/>
      <c r="AH25" s="1"/>
      <c r="AI25" s="49">
        <f t="shared" si="7"/>
        <v>0</v>
      </c>
      <c r="AJ25" s="50"/>
      <c r="AK25" s="49">
        <f t="shared" si="8"/>
        <v>0</v>
      </c>
      <c r="AL25" s="54"/>
      <c r="AM25" s="55"/>
      <c r="AN25" s="1"/>
      <c r="AO25" s="1"/>
      <c r="AP25" s="53">
        <f t="shared" si="18"/>
        <v>1</v>
      </c>
      <c r="AQ25" s="39">
        <f t="shared" si="19"/>
        <v>0</v>
      </c>
      <c r="AR25" s="1"/>
    </row>
    <row r="26" spans="1:44">
      <c r="A26" s="63"/>
      <c r="B26" s="40">
        <v>15</v>
      </c>
      <c r="C26" s="40">
        <v>22</v>
      </c>
      <c r="D26" s="40">
        <v>95</v>
      </c>
      <c r="E26" s="40">
        <v>3.355</v>
      </c>
      <c r="F26" s="40" t="s">
        <v>32</v>
      </c>
      <c r="G26" s="58">
        <f t="shared" si="12"/>
        <v>7.0119499999999994E-3</v>
      </c>
      <c r="H26" s="42">
        <f t="shared" si="1"/>
        <v>1.6828679999999998</v>
      </c>
      <c r="I26" s="43"/>
      <c r="J26" s="40">
        <v>15</v>
      </c>
      <c r="K26" s="40">
        <v>22</v>
      </c>
      <c r="L26" s="40">
        <v>95</v>
      </c>
      <c r="M26" s="40">
        <v>3.355</v>
      </c>
      <c r="N26" s="40" t="s">
        <v>31</v>
      </c>
      <c r="O26" s="44">
        <f t="shared" si="13"/>
        <v>7.0119499999999994E-3</v>
      </c>
      <c r="P26" s="42">
        <f t="shared" si="16"/>
        <v>1.4725094999999999</v>
      </c>
      <c r="Q26" s="45"/>
      <c r="R26" s="40">
        <v>15</v>
      </c>
      <c r="S26" s="40">
        <v>22</v>
      </c>
      <c r="T26" s="40">
        <v>95</v>
      </c>
      <c r="U26" s="40">
        <v>3.355</v>
      </c>
      <c r="V26" s="40" t="s">
        <v>32</v>
      </c>
      <c r="W26" s="44">
        <f t="shared" si="14"/>
        <v>7.0119499999999994E-3</v>
      </c>
      <c r="X26" s="42">
        <f t="shared" si="15"/>
        <v>1.6828679999999998</v>
      </c>
      <c r="Y26" s="46"/>
      <c r="Z26" s="45"/>
      <c r="AA26" s="47"/>
      <c r="AB26" s="48"/>
      <c r="AC26" s="34">
        <v>15</v>
      </c>
      <c r="AD26" s="34" t="str">
        <f t="shared" si="17"/>
        <v>EN GRADO</v>
      </c>
      <c r="AE26" s="34" t="str">
        <f t="shared" si="11"/>
        <v>BAJO GRADO</v>
      </c>
      <c r="AF26" s="4"/>
      <c r="AG26" s="1"/>
      <c r="AH26" s="1"/>
      <c r="AI26" s="49">
        <f t="shared" si="7"/>
        <v>0</v>
      </c>
      <c r="AJ26" s="50"/>
      <c r="AK26" s="49">
        <f t="shared" si="8"/>
        <v>0</v>
      </c>
      <c r="AL26" s="54"/>
      <c r="AM26" s="57"/>
      <c r="AN26" s="1"/>
      <c r="AO26" s="1"/>
      <c r="AP26" s="53">
        <f t="shared" si="18"/>
        <v>1</v>
      </c>
      <c r="AQ26" s="39">
        <f t="shared" si="19"/>
        <v>0</v>
      </c>
      <c r="AR26" s="1"/>
    </row>
    <row r="27" spans="1:44">
      <c r="A27" s="1"/>
      <c r="B27" s="40">
        <v>16</v>
      </c>
      <c r="C27" s="40">
        <v>22</v>
      </c>
      <c r="D27" s="40">
        <v>95</v>
      </c>
      <c r="E27" s="40">
        <v>3.355</v>
      </c>
      <c r="F27" s="40" t="s">
        <v>32</v>
      </c>
      <c r="G27" s="58">
        <f t="shared" si="12"/>
        <v>7.0119499999999994E-3</v>
      </c>
      <c r="H27" s="42">
        <f t="shared" si="1"/>
        <v>1.6828679999999998</v>
      </c>
      <c r="I27" s="43"/>
      <c r="J27" s="40">
        <v>16</v>
      </c>
      <c r="K27" s="40">
        <v>22</v>
      </c>
      <c r="L27" s="40">
        <v>95</v>
      </c>
      <c r="M27" s="40">
        <v>3.355</v>
      </c>
      <c r="N27" s="40" t="s">
        <v>31</v>
      </c>
      <c r="O27" s="44">
        <f t="shared" si="13"/>
        <v>7.0119499999999994E-3</v>
      </c>
      <c r="P27" s="42">
        <f t="shared" si="16"/>
        <v>1.4725094999999999</v>
      </c>
      <c r="Q27" s="45"/>
      <c r="R27" s="40">
        <v>16</v>
      </c>
      <c r="S27" s="40">
        <v>22</v>
      </c>
      <c r="T27" s="40">
        <v>95</v>
      </c>
      <c r="U27" s="40">
        <v>3.355</v>
      </c>
      <c r="V27" s="40" t="s">
        <v>32</v>
      </c>
      <c r="W27" s="44">
        <f t="shared" si="14"/>
        <v>7.0119499999999994E-3</v>
      </c>
      <c r="X27" s="42">
        <f t="shared" si="15"/>
        <v>1.6828679999999998</v>
      </c>
      <c r="Y27" s="46"/>
      <c r="Z27" s="45"/>
      <c r="AA27" s="47"/>
      <c r="AB27" s="48"/>
      <c r="AC27" s="34">
        <v>16</v>
      </c>
      <c r="AD27" s="34" t="str">
        <f t="shared" si="17"/>
        <v>EN GRADO</v>
      </c>
      <c r="AE27" s="34" t="str">
        <f t="shared" si="11"/>
        <v>BAJO GRADO</v>
      </c>
      <c r="AF27" s="4"/>
      <c r="AG27" s="1"/>
      <c r="AH27" s="1"/>
      <c r="AI27" s="49">
        <f t="shared" si="7"/>
        <v>0</v>
      </c>
      <c r="AJ27" s="50"/>
      <c r="AK27" s="49">
        <f t="shared" si="8"/>
        <v>0</v>
      </c>
      <c r="AL27" s="54"/>
      <c r="AM27" s="55"/>
      <c r="AN27" s="1"/>
      <c r="AO27" s="1"/>
      <c r="AP27" s="53">
        <f t="shared" si="18"/>
        <v>1</v>
      </c>
      <c r="AQ27" s="39">
        <f t="shared" si="19"/>
        <v>0</v>
      </c>
      <c r="AR27" s="1"/>
    </row>
    <row r="28" spans="1:44">
      <c r="A28" s="1"/>
      <c r="B28" s="40">
        <v>17</v>
      </c>
      <c r="C28" s="40">
        <v>22</v>
      </c>
      <c r="D28" s="40">
        <v>95</v>
      </c>
      <c r="E28" s="40">
        <v>3.355</v>
      </c>
      <c r="F28" s="40" t="s">
        <v>32</v>
      </c>
      <c r="G28" s="58">
        <f t="shared" si="12"/>
        <v>7.0119499999999994E-3</v>
      </c>
      <c r="H28" s="42">
        <f t="shared" si="1"/>
        <v>1.6828679999999998</v>
      </c>
      <c r="I28" s="43"/>
      <c r="J28" s="40">
        <v>17</v>
      </c>
      <c r="K28" s="40">
        <v>22</v>
      </c>
      <c r="L28" s="40">
        <v>95</v>
      </c>
      <c r="M28" s="40">
        <v>3.355</v>
      </c>
      <c r="N28" s="40" t="s">
        <v>31</v>
      </c>
      <c r="O28" s="44">
        <f t="shared" si="13"/>
        <v>7.0119499999999994E-3</v>
      </c>
      <c r="P28" s="42">
        <f t="shared" si="16"/>
        <v>1.4725094999999999</v>
      </c>
      <c r="Q28" s="45"/>
      <c r="R28" s="40">
        <v>17</v>
      </c>
      <c r="S28" s="40">
        <v>22</v>
      </c>
      <c r="T28" s="40">
        <v>95</v>
      </c>
      <c r="U28" s="40">
        <v>3.355</v>
      </c>
      <c r="V28" s="40" t="s">
        <v>32</v>
      </c>
      <c r="W28" s="44">
        <f t="shared" si="14"/>
        <v>7.0119499999999994E-3</v>
      </c>
      <c r="X28" s="42">
        <f t="shared" si="15"/>
        <v>1.6828679999999998</v>
      </c>
      <c r="Y28" s="46"/>
      <c r="Z28" s="45"/>
      <c r="AA28" s="47"/>
      <c r="AB28" s="48"/>
      <c r="AC28" s="34">
        <v>17</v>
      </c>
      <c r="AD28" s="34" t="str">
        <f t="shared" si="17"/>
        <v>EN GRADO</v>
      </c>
      <c r="AE28" s="34" t="str">
        <f t="shared" si="11"/>
        <v>BAJO GRADO</v>
      </c>
      <c r="AF28" s="4"/>
      <c r="AG28" s="1"/>
      <c r="AH28" s="1"/>
      <c r="AI28" s="49">
        <f t="shared" si="7"/>
        <v>0</v>
      </c>
      <c r="AJ28" s="50"/>
      <c r="AK28" s="49">
        <f t="shared" si="8"/>
        <v>0</v>
      </c>
      <c r="AL28" s="54"/>
      <c r="AM28" s="57"/>
      <c r="AN28" s="1"/>
      <c r="AO28" s="1"/>
      <c r="AP28" s="53">
        <f t="shared" si="18"/>
        <v>1</v>
      </c>
      <c r="AQ28" s="39">
        <f t="shared" si="19"/>
        <v>0</v>
      </c>
      <c r="AR28" s="1"/>
    </row>
    <row r="29" spans="1:44">
      <c r="A29" s="1"/>
      <c r="B29" s="40">
        <v>18</v>
      </c>
      <c r="C29" s="40">
        <v>22</v>
      </c>
      <c r="D29" s="40">
        <v>95</v>
      </c>
      <c r="E29" s="40">
        <v>3.355</v>
      </c>
      <c r="F29" s="40" t="s">
        <v>32</v>
      </c>
      <c r="G29" s="58">
        <f t="shared" si="12"/>
        <v>7.0119499999999994E-3</v>
      </c>
      <c r="H29" s="42">
        <f t="shared" si="1"/>
        <v>1.6828679999999998</v>
      </c>
      <c r="I29" s="43"/>
      <c r="J29" s="40">
        <v>18</v>
      </c>
      <c r="K29" s="40">
        <v>22</v>
      </c>
      <c r="L29" s="40">
        <v>95</v>
      </c>
      <c r="M29" s="40">
        <v>3.355</v>
      </c>
      <c r="N29" s="40" t="s">
        <v>32</v>
      </c>
      <c r="O29" s="44">
        <f t="shared" si="13"/>
        <v>7.0119499999999994E-3</v>
      </c>
      <c r="P29" s="42">
        <f t="shared" si="16"/>
        <v>1.6828679999999998</v>
      </c>
      <c r="Q29" s="45"/>
      <c r="R29" s="40">
        <v>18</v>
      </c>
      <c r="S29" s="40">
        <v>22</v>
      </c>
      <c r="T29" s="40">
        <v>95</v>
      </c>
      <c r="U29" s="40">
        <v>3.355</v>
      </c>
      <c r="V29" s="40" t="s">
        <v>32</v>
      </c>
      <c r="W29" s="44">
        <f t="shared" si="14"/>
        <v>7.0119499999999994E-3</v>
      </c>
      <c r="X29" s="42">
        <f t="shared" si="15"/>
        <v>1.6828679999999998</v>
      </c>
      <c r="Y29" s="46"/>
      <c r="Z29" s="45"/>
      <c r="AA29" s="47"/>
      <c r="AB29" s="48"/>
      <c r="AC29" s="34">
        <v>18</v>
      </c>
      <c r="AD29" s="34" t="str">
        <f t="shared" si="17"/>
        <v>EN GRADO</v>
      </c>
      <c r="AE29" s="34" t="str">
        <f t="shared" si="11"/>
        <v>EN GRADO</v>
      </c>
      <c r="AF29" s="4"/>
      <c r="AG29" s="1"/>
      <c r="AH29" s="1"/>
      <c r="AI29" s="49">
        <f t="shared" si="7"/>
        <v>0</v>
      </c>
      <c r="AJ29" s="50"/>
      <c r="AK29" s="49">
        <f t="shared" si="8"/>
        <v>0</v>
      </c>
      <c r="AL29" s="54"/>
      <c r="AM29" s="57"/>
      <c r="AN29" s="1"/>
      <c r="AO29" s="1"/>
      <c r="AP29" s="53">
        <f t="shared" si="18"/>
        <v>1</v>
      </c>
      <c r="AQ29" s="39">
        <f t="shared" si="19"/>
        <v>1</v>
      </c>
      <c r="AR29" s="1"/>
    </row>
    <row r="30" spans="1:44">
      <c r="A30" s="1"/>
      <c r="B30" s="40">
        <v>19</v>
      </c>
      <c r="C30" s="40">
        <v>22</v>
      </c>
      <c r="D30" s="40">
        <v>95</v>
      </c>
      <c r="E30" s="64">
        <v>3.66</v>
      </c>
      <c r="F30" s="40" t="s">
        <v>32</v>
      </c>
      <c r="G30" s="58">
        <f t="shared" si="12"/>
        <v>7.6494000000000006E-3</v>
      </c>
      <c r="H30" s="42">
        <f t="shared" si="1"/>
        <v>1.8358560000000002</v>
      </c>
      <c r="I30" s="43"/>
      <c r="J30" s="40">
        <v>19</v>
      </c>
      <c r="K30" s="40">
        <v>22</v>
      </c>
      <c r="L30" s="40">
        <v>95</v>
      </c>
      <c r="M30" s="64">
        <v>3.66</v>
      </c>
      <c r="N30" s="40" t="s">
        <v>31</v>
      </c>
      <c r="O30" s="44">
        <f t="shared" si="13"/>
        <v>7.6494000000000006E-3</v>
      </c>
      <c r="P30" s="42">
        <f t="shared" si="16"/>
        <v>1.6063740000000002</v>
      </c>
      <c r="Q30" s="45"/>
      <c r="R30" s="40">
        <v>19</v>
      </c>
      <c r="S30" s="40">
        <v>22</v>
      </c>
      <c r="T30" s="40">
        <v>95</v>
      </c>
      <c r="U30" s="64">
        <v>3.66</v>
      </c>
      <c r="V30" s="40" t="s">
        <v>32</v>
      </c>
      <c r="W30" s="44">
        <f t="shared" si="14"/>
        <v>7.6494000000000006E-3</v>
      </c>
      <c r="X30" s="42">
        <f t="shared" si="15"/>
        <v>1.8358560000000002</v>
      </c>
      <c r="Y30" s="46"/>
      <c r="Z30" s="45"/>
      <c r="AA30" s="47"/>
      <c r="AB30" s="48"/>
      <c r="AC30" s="34">
        <v>19</v>
      </c>
      <c r="AD30" s="34" t="str">
        <f t="shared" si="17"/>
        <v>EN GRADO</v>
      </c>
      <c r="AE30" s="34" t="str">
        <f t="shared" si="11"/>
        <v>BAJO GRADO</v>
      </c>
      <c r="AF30" s="4"/>
      <c r="AG30" s="1"/>
      <c r="AH30" s="1"/>
      <c r="AI30" s="49">
        <f t="shared" si="7"/>
        <v>0</v>
      </c>
      <c r="AJ30" s="50"/>
      <c r="AK30" s="49">
        <f t="shared" si="8"/>
        <v>0</v>
      </c>
      <c r="AL30" s="54"/>
      <c r="AM30" s="57"/>
      <c r="AN30" s="1"/>
      <c r="AO30" s="1"/>
      <c r="AP30" s="53">
        <f t="shared" si="18"/>
        <v>1</v>
      </c>
      <c r="AQ30" s="39">
        <f t="shared" si="19"/>
        <v>0</v>
      </c>
      <c r="AR30" s="1"/>
    </row>
    <row r="31" spans="1:44">
      <c r="A31" s="1"/>
      <c r="B31" s="40">
        <v>20</v>
      </c>
      <c r="C31" s="40">
        <v>22</v>
      </c>
      <c r="D31" s="40">
        <v>95</v>
      </c>
      <c r="E31" s="40">
        <v>3.355</v>
      </c>
      <c r="F31" s="40" t="s">
        <v>32</v>
      </c>
      <c r="G31" s="58">
        <f t="shared" si="12"/>
        <v>7.0119499999999994E-3</v>
      </c>
      <c r="H31" s="42">
        <f t="shared" ref="H31" si="20">IFERROR(G31*VLOOKUP(F31,$AS$2:$AT$5,2,0),0)</f>
        <v>1.6828679999999998</v>
      </c>
      <c r="I31" s="43"/>
      <c r="J31" s="40">
        <v>20</v>
      </c>
      <c r="K31" s="40">
        <v>22</v>
      </c>
      <c r="L31" s="40">
        <v>95</v>
      </c>
      <c r="M31" s="40">
        <v>3.355</v>
      </c>
      <c r="N31" s="40" t="s">
        <v>31</v>
      </c>
      <c r="O31" s="44">
        <f t="shared" si="13"/>
        <v>7.0119499999999994E-3</v>
      </c>
      <c r="P31" s="42">
        <f t="shared" si="16"/>
        <v>1.4725094999999999</v>
      </c>
      <c r="Q31" s="45"/>
      <c r="R31" s="40">
        <v>20</v>
      </c>
      <c r="S31" s="40">
        <v>22</v>
      </c>
      <c r="T31" s="40">
        <v>95</v>
      </c>
      <c r="U31" s="40">
        <v>3.355</v>
      </c>
      <c r="V31" s="40" t="s">
        <v>32</v>
      </c>
      <c r="W31" s="44">
        <f t="shared" si="14"/>
        <v>7.0119499999999994E-3</v>
      </c>
      <c r="X31" s="42">
        <f t="shared" si="15"/>
        <v>1.6828679999999998</v>
      </c>
      <c r="Y31" s="46"/>
      <c r="Z31" s="45"/>
      <c r="AA31" s="56"/>
      <c r="AB31" s="48" t="s">
        <v>66</v>
      </c>
      <c r="AC31" s="34">
        <v>20</v>
      </c>
      <c r="AD31" s="34" t="str">
        <f t="shared" si="17"/>
        <v>EN GRADO</v>
      </c>
      <c r="AE31" s="34" t="str">
        <f t="shared" si="11"/>
        <v>BAJO GRADO</v>
      </c>
      <c r="AF31" s="4"/>
      <c r="AG31" s="1"/>
      <c r="AH31" s="1">
        <f>+COUNTIF(C12:C31,"&gt;0")</f>
        <v>20</v>
      </c>
      <c r="AI31" s="49">
        <f t="shared" ref="AI31" si="21">IF(C31="","",IF(U31=0,"RECHAZO",+E31-U31))</f>
        <v>0</v>
      </c>
      <c r="AJ31" s="50"/>
      <c r="AK31" s="49">
        <f t="shared" ref="AK31" si="22">IF(C31="","",IF(M31=0,"RECHAZO",+E31-M31))</f>
        <v>0</v>
      </c>
      <c r="AL31" s="54"/>
      <c r="AM31" s="57"/>
      <c r="AN31" s="1"/>
      <c r="AO31" s="1"/>
      <c r="AP31" s="65">
        <f t="shared" si="18"/>
        <v>1</v>
      </c>
      <c r="AQ31" s="37">
        <f t="shared" si="19"/>
        <v>0</v>
      </c>
      <c r="AR31" s="1"/>
    </row>
    <row r="32" spans="1:44">
      <c r="A32" s="1"/>
      <c r="B32" s="30"/>
      <c r="C32" s="30"/>
      <c r="D32" s="30"/>
      <c r="E32" s="30"/>
      <c r="F32" s="30"/>
      <c r="G32" s="66"/>
      <c r="H32" s="67"/>
      <c r="I32" s="30"/>
      <c r="J32" s="30"/>
      <c r="K32" s="30"/>
      <c r="L32" s="30"/>
      <c r="M32" s="30"/>
      <c r="N32" s="1"/>
      <c r="O32" s="68"/>
      <c r="P32" s="67"/>
      <c r="Q32" s="30"/>
      <c r="R32" s="30"/>
      <c r="S32" s="30"/>
      <c r="T32" s="30"/>
      <c r="U32" s="30"/>
      <c r="V32" s="30"/>
      <c r="W32" s="68"/>
      <c r="X32" s="67"/>
      <c r="Y32" s="68"/>
      <c r="Z32" s="30"/>
      <c r="AA32" s="69"/>
      <c r="AB32" s="69"/>
      <c r="AC32" s="70"/>
      <c r="AD32" s="69"/>
      <c r="AE32" s="69"/>
      <c r="AF32" s="1"/>
      <c r="AG32" s="1"/>
      <c r="AH32" s="1"/>
      <c r="AI32" s="49"/>
      <c r="AJ32" s="1"/>
      <c r="AK32" s="71"/>
      <c r="AL32" s="72"/>
      <c r="AM32" s="57"/>
      <c r="AN32" s="1"/>
      <c r="AO32" s="1"/>
      <c r="AP32" s="1"/>
      <c r="AQ32" s="1"/>
      <c r="AR32" s="1"/>
    </row>
    <row r="33" spans="1:44">
      <c r="A33" s="18"/>
      <c r="B33" s="73" t="s">
        <v>33</v>
      </c>
      <c r="C33" s="74"/>
      <c r="D33" s="75"/>
      <c r="E33" s="74"/>
      <c r="F33" s="74"/>
      <c r="G33" s="76">
        <f>SUM(G12:G31)</f>
        <v>0.14533860000000001</v>
      </c>
      <c r="H33" s="77">
        <f>SUM(H12:H31)</f>
        <v>34.881263999999994</v>
      </c>
      <c r="I33" s="78"/>
      <c r="J33" s="73" t="s">
        <v>33</v>
      </c>
      <c r="K33" s="74"/>
      <c r="L33" s="75"/>
      <c r="M33" s="74"/>
      <c r="N33" s="74"/>
      <c r="O33" s="76">
        <f>SUM(O12:O31)</f>
        <v>0.14533860000000001</v>
      </c>
      <c r="P33" s="77">
        <f>SUM(P12:P31)</f>
        <v>32.050986000000002</v>
      </c>
      <c r="Q33" s="9"/>
      <c r="R33" s="79" t="s">
        <v>33</v>
      </c>
      <c r="S33" s="74"/>
      <c r="T33" s="74"/>
      <c r="U33" s="74"/>
      <c r="V33" s="74"/>
      <c r="W33" s="76">
        <f>SUM(W12:W31)</f>
        <v>0.14533860000000001</v>
      </c>
      <c r="X33" s="77">
        <f>SUM(X12:X31)</f>
        <v>34.881263999999994</v>
      </c>
      <c r="Y33" s="80"/>
      <c r="Z33" s="9"/>
      <c r="AA33" s="81"/>
      <c r="AB33" s="81"/>
      <c r="AC33" s="81"/>
      <c r="AD33" s="81"/>
      <c r="AE33" s="81"/>
      <c r="AF33" s="18"/>
      <c r="AG33" s="18"/>
      <c r="AH33" s="1" t="s">
        <v>34</v>
      </c>
      <c r="AI33" s="82">
        <f>(+COUNTIF(AI12:AI31,"0")/AH31)</f>
        <v>1</v>
      </c>
      <c r="AJ33" s="83"/>
      <c r="AK33" s="82">
        <f>(+COUNTIF(AK12:AK31,"0")/AH31)</f>
        <v>1</v>
      </c>
      <c r="AL33" s="57"/>
      <c r="AM33" s="57"/>
      <c r="AN33" s="18"/>
      <c r="AO33" s="1"/>
      <c r="AP33" s="1">
        <f>SUM(AP12:AP31)</f>
        <v>20</v>
      </c>
      <c r="AQ33" s="1">
        <f>SUM(AQ12:AQ31)</f>
        <v>7</v>
      </c>
      <c r="AR33" s="18"/>
    </row>
    <row r="34" spans="1:4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4"/>
      <c r="O34" s="1"/>
      <c r="P34" s="1"/>
      <c r="Q34" s="1"/>
      <c r="R34" s="84"/>
      <c r="S34" s="1"/>
      <c r="T34" s="4"/>
      <c r="U34" s="1"/>
      <c r="V34" s="1"/>
      <c r="W34" s="1"/>
      <c r="X34" s="1"/>
      <c r="Y34" s="84"/>
      <c r="Z34" s="84"/>
      <c r="AA34" s="1"/>
      <c r="AB34" s="1"/>
      <c r="AC34" s="1"/>
      <c r="AD34" s="1"/>
      <c r="AE34" s="1"/>
      <c r="AF34" s="1"/>
      <c r="AG34" s="1"/>
      <c r="AH34" s="1" t="s">
        <v>35</v>
      </c>
      <c r="AI34" s="85">
        <f>+COUNTIF(AI22:AI31,"&gt;0")/AH31</f>
        <v>0</v>
      </c>
      <c r="AJ34" s="86"/>
      <c r="AK34" s="85">
        <f>+COUNTIF(AK22:AK31,"&gt;0")/AH31</f>
        <v>0</v>
      </c>
      <c r="AL34" s="55"/>
      <c r="AM34" s="55"/>
      <c r="AN34" s="1"/>
      <c r="AO34" s="1"/>
      <c r="AP34" s="1"/>
      <c r="AQ34" s="1"/>
      <c r="AR34" s="1"/>
    </row>
    <row r="35" spans="1:44">
      <c r="A35" s="87"/>
      <c r="B35" s="124"/>
      <c r="C35" s="124"/>
      <c r="D35" s="124"/>
      <c r="E35" s="125"/>
      <c r="F35" s="126" t="s">
        <v>36</v>
      </c>
      <c r="G35" s="127"/>
      <c r="H35" s="128"/>
      <c r="I35" s="129" t="s">
        <v>37</v>
      </c>
      <c r="J35" s="129"/>
      <c r="K35" s="1"/>
      <c r="L35" s="1"/>
      <c r="M35" s="88"/>
      <c r="N35" s="18"/>
      <c r="O35" s="1"/>
      <c r="P35" s="1"/>
      <c r="Q35" s="1"/>
      <c r="R35" s="1"/>
      <c r="S35" s="88"/>
      <c r="T35" s="88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 t="s">
        <v>38</v>
      </c>
      <c r="AI35" s="85">
        <f>+COUNTIF(AI22:AI31,"&lt;0")/AH31</f>
        <v>0</v>
      </c>
      <c r="AJ35" s="86"/>
      <c r="AK35" s="85">
        <f>+COUNTIF(AK22:AK31,"&lt;0")/AH31</f>
        <v>0</v>
      </c>
      <c r="AL35" s="55"/>
      <c r="AM35" s="55"/>
      <c r="AN35" s="1"/>
      <c r="AO35" s="1"/>
      <c r="AP35" s="1"/>
      <c r="AQ35" s="1"/>
      <c r="AR35" s="1"/>
    </row>
    <row r="36" spans="1:44">
      <c r="A36" s="87"/>
      <c r="B36" s="89" t="s">
        <v>39</v>
      </c>
      <c r="C36" s="90"/>
      <c r="D36" s="90"/>
      <c r="E36" s="91"/>
      <c r="F36" s="130">
        <f>W33/$G$33</f>
        <v>1</v>
      </c>
      <c r="G36" s="130"/>
      <c r="H36" s="131"/>
      <c r="I36" s="132">
        <f>O33/G33</f>
        <v>1</v>
      </c>
      <c r="J36" s="131"/>
      <c r="K36" s="92" t="s">
        <v>40</v>
      </c>
      <c r="L36" s="1"/>
      <c r="M36" s="10"/>
      <c r="N36" s="1"/>
      <c r="O36" s="1"/>
      <c r="P36" s="1"/>
      <c r="Q36" s="1"/>
      <c r="R36" s="1"/>
      <c r="S36" s="10"/>
      <c r="T36" s="10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 t="s">
        <v>41</v>
      </c>
      <c r="AI36" s="93">
        <f>+COUNTIF(AI22:AI31,"RECHAZO")/$AH$31</f>
        <v>0</v>
      </c>
      <c r="AJ36" s="94"/>
      <c r="AK36" s="93">
        <f>+COUNTIF(AK22:AK31,"RECHAZO")/$AH$31</f>
        <v>0</v>
      </c>
      <c r="AL36" s="95"/>
      <c r="AM36" s="96"/>
      <c r="AN36" s="1"/>
      <c r="AO36" s="1"/>
      <c r="AP36" s="1"/>
      <c r="AQ36" s="1"/>
      <c r="AR36" s="1"/>
    </row>
    <row r="37" spans="1:44">
      <c r="A37" s="87"/>
      <c r="B37" s="97" t="s">
        <v>42</v>
      </c>
      <c r="C37" s="30"/>
      <c r="D37" s="30"/>
      <c r="E37" s="98"/>
      <c r="F37" s="139">
        <f>+AP33/AH31</f>
        <v>1</v>
      </c>
      <c r="G37" s="139"/>
      <c r="H37" s="140"/>
      <c r="I37" s="141">
        <f>+AQ33/AH31</f>
        <v>0.35</v>
      </c>
      <c r="J37" s="140"/>
      <c r="K37" s="92" t="s">
        <v>43</v>
      </c>
      <c r="L37" s="1"/>
      <c r="M37" s="10"/>
      <c r="N37" s="1"/>
      <c r="O37" s="1"/>
      <c r="P37" s="1"/>
      <c r="Q37" s="1"/>
      <c r="R37" s="1"/>
      <c r="S37" s="10"/>
      <c r="T37" s="10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99"/>
      <c r="AJ37" s="86"/>
      <c r="AK37" s="99"/>
      <c r="AL37" s="1"/>
      <c r="AM37" s="84"/>
      <c r="AN37" s="1"/>
      <c r="AO37" s="1"/>
      <c r="AP37" s="1"/>
      <c r="AQ37" s="1"/>
      <c r="AR37" s="1"/>
    </row>
    <row r="38" spans="1:44">
      <c r="A38" s="87"/>
      <c r="B38" s="97" t="s">
        <v>44</v>
      </c>
      <c r="C38" s="30"/>
      <c r="D38" s="30"/>
      <c r="E38" s="98"/>
      <c r="F38" s="142">
        <f>+AI33</f>
        <v>1</v>
      </c>
      <c r="G38" s="142"/>
      <c r="H38" s="143"/>
      <c r="I38" s="144">
        <f>+AK33</f>
        <v>1</v>
      </c>
      <c r="J38" s="143"/>
      <c r="K38" s="92" t="s">
        <v>45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spans="1:44">
      <c r="A39" s="87"/>
      <c r="B39" s="97" t="s">
        <v>46</v>
      </c>
      <c r="C39" s="30"/>
      <c r="D39" s="30"/>
      <c r="E39" s="98"/>
      <c r="F39" s="142">
        <f>+AI34</f>
        <v>0</v>
      </c>
      <c r="G39" s="142"/>
      <c r="H39" s="143"/>
      <c r="I39" s="144">
        <f>+AK34</f>
        <v>0</v>
      </c>
      <c r="J39" s="143"/>
      <c r="K39" s="92" t="s">
        <v>47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spans="1:44">
      <c r="A40" s="87"/>
      <c r="B40" s="97" t="s">
        <v>48</v>
      </c>
      <c r="C40" s="30"/>
      <c r="D40" s="30"/>
      <c r="E40" s="98"/>
      <c r="F40" s="142">
        <f>+AI35</f>
        <v>0</v>
      </c>
      <c r="G40" s="142"/>
      <c r="H40" s="143"/>
      <c r="I40" s="144">
        <f>+AK35</f>
        <v>0</v>
      </c>
      <c r="J40" s="143"/>
      <c r="K40" s="92" t="s">
        <v>49</v>
      </c>
      <c r="L40" s="1"/>
      <c r="M40" s="1"/>
      <c r="N40" s="1"/>
      <c r="O40" s="1"/>
      <c r="P40" s="1" t="s">
        <v>50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1:44">
      <c r="A41" s="87"/>
      <c r="B41" s="97" t="s">
        <v>51</v>
      </c>
      <c r="C41" s="30"/>
      <c r="D41" s="30"/>
      <c r="E41" s="98"/>
      <c r="F41" s="139">
        <f>$AI$36</f>
        <v>0</v>
      </c>
      <c r="G41" s="139"/>
      <c r="H41" s="140"/>
      <c r="I41" s="141">
        <f>$AK$36</f>
        <v>0</v>
      </c>
      <c r="J41" s="140"/>
      <c r="K41" s="92" t="s">
        <v>52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>
      <c r="A42" s="87"/>
      <c r="B42" s="97" t="s">
        <v>53</v>
      </c>
      <c r="C42" s="30"/>
      <c r="D42" s="30"/>
      <c r="E42" s="98"/>
      <c r="F42" s="139">
        <f>+COUNTIF($AD$12:$AD$31,"EN GRADO")/$AH$31</f>
        <v>1</v>
      </c>
      <c r="G42" s="139"/>
      <c r="H42" s="140"/>
      <c r="I42" s="141">
        <f>+COUNTIF($AE$12:$AE$31,"EN GRADO")/$AH$31</f>
        <v>0.35</v>
      </c>
      <c r="J42" s="140"/>
      <c r="K42" s="92" t="s">
        <v>54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>
      <c r="A43" s="87"/>
      <c r="B43" s="97" t="s">
        <v>55</v>
      </c>
      <c r="C43" s="30"/>
      <c r="D43" s="30"/>
      <c r="E43" s="98"/>
      <c r="F43" s="139">
        <f>+COUNTIF($AD$12:$AD$31,"SOBRE GRADO")/$AH$31</f>
        <v>0</v>
      </c>
      <c r="G43" s="139"/>
      <c r="H43" s="140"/>
      <c r="I43" s="141">
        <f>+COUNTIF($AE$12:$AE$31,"SOBRE GRADO")/$AH$31</f>
        <v>0</v>
      </c>
      <c r="J43" s="140"/>
      <c r="K43" s="92" t="s">
        <v>56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>
      <c r="A44" s="87"/>
      <c r="B44" s="97" t="s">
        <v>57</v>
      </c>
      <c r="C44" s="30"/>
      <c r="D44" s="30"/>
      <c r="E44" s="98"/>
      <c r="F44" s="139">
        <f>+COUNTIF($AD$12:$AD$31,"BAJO GRADO")/$AH$31</f>
        <v>0</v>
      </c>
      <c r="G44" s="139"/>
      <c r="H44" s="140"/>
      <c r="I44" s="141">
        <f>+COUNTIF($AE$12:$AE$31,"BAJO GRADO")/$AH$31</f>
        <v>0.65</v>
      </c>
      <c r="J44" s="140"/>
      <c r="K44" s="92" t="s">
        <v>58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1:44">
      <c r="A45" s="87"/>
      <c r="B45" s="97" t="s">
        <v>59</v>
      </c>
      <c r="C45" s="30"/>
      <c r="D45" s="30"/>
      <c r="E45" s="98"/>
      <c r="F45" s="139">
        <f>+X33/H33</f>
        <v>1</v>
      </c>
      <c r="G45" s="139"/>
      <c r="H45" s="140"/>
      <c r="I45" s="141">
        <f>+P33/H33</f>
        <v>0.91885964912280726</v>
      </c>
      <c r="J45" s="140"/>
      <c r="K45" s="92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>
      <c r="A46" s="87"/>
      <c r="B46" s="100" t="s">
        <v>60</v>
      </c>
      <c r="C46" s="101"/>
      <c r="D46" s="101"/>
      <c r="E46" s="102"/>
      <c r="F46" s="145">
        <f>+AH31</f>
        <v>20</v>
      </c>
      <c r="G46" s="146"/>
      <c r="H46" s="147"/>
      <c r="I46" s="148">
        <f>+F46</f>
        <v>20</v>
      </c>
      <c r="J46" s="147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spans="1:44">
      <c r="A47" s="1"/>
      <c r="B47" s="1"/>
      <c r="C47" s="1"/>
      <c r="D47" s="1"/>
      <c r="E47" s="1"/>
      <c r="F47" s="8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 spans="1:44">
      <c r="A48" s="1"/>
      <c r="B48" s="1"/>
      <c r="C48" s="1"/>
      <c r="D48" s="1"/>
      <c r="E48" s="1"/>
      <c r="F48" s="9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03"/>
      <c r="S48" s="1"/>
      <c r="T48" s="1"/>
      <c r="U48" s="1"/>
      <c r="V48" s="1"/>
      <c r="W48" s="1"/>
      <c r="X48" s="1"/>
      <c r="Y48" s="103"/>
      <c r="Z48" s="103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 spans="2:44">
      <c r="B49" s="104" t="s">
        <v>61</v>
      </c>
      <c r="C49" s="105"/>
      <c r="D49" s="105"/>
      <c r="E49" s="106"/>
      <c r="F49" s="107"/>
      <c r="G49" s="105"/>
      <c r="H49" s="108"/>
      <c r="I49" s="108"/>
      <c r="J49" s="109"/>
      <c r="L49" s="18"/>
      <c r="M49" s="1"/>
      <c r="N49" s="1"/>
      <c r="O49" s="1"/>
      <c r="P49" s="1"/>
      <c r="Q49" s="103"/>
      <c r="R49" s="1"/>
      <c r="S49" s="1"/>
      <c r="T49" s="1"/>
      <c r="U49" s="1"/>
      <c r="V49" s="1"/>
      <c r="W49" s="1"/>
      <c r="X49" s="1"/>
      <c r="Y49" s="103"/>
      <c r="Z49" s="103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 spans="2:44">
      <c r="B50" s="97" t="s">
        <v>62</v>
      </c>
      <c r="C50" s="8" t="s">
        <v>20</v>
      </c>
      <c r="D50" s="8" t="s">
        <v>63</v>
      </c>
      <c r="F50" s="8" t="s">
        <v>64</v>
      </c>
      <c r="I50" s="110" t="s">
        <v>65</v>
      </c>
      <c r="J50" s="111"/>
      <c r="L50" s="18"/>
      <c r="M50" s="1"/>
      <c r="N50" s="1"/>
      <c r="O50" s="1"/>
      <c r="P50" s="1"/>
      <c r="Q50" s="1"/>
      <c r="R50" s="103"/>
      <c r="S50" s="1"/>
      <c r="T50" s="1"/>
      <c r="U50" s="1"/>
      <c r="V50" s="1"/>
      <c r="W50" s="1"/>
      <c r="X50" s="1"/>
      <c r="Y50" s="103"/>
      <c r="Z50" s="103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 spans="2:44">
      <c r="B51" s="112">
        <v>1</v>
      </c>
      <c r="C51" s="113"/>
      <c r="D51" s="113"/>
      <c r="F51" s="114"/>
      <c r="J51" s="111"/>
      <c r="L51" s="18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 spans="2:44">
      <c r="B52" s="112">
        <v>2</v>
      </c>
      <c r="C52" s="113"/>
      <c r="D52" s="113"/>
      <c r="F52" s="114"/>
      <c r="J52" s="111"/>
      <c r="L52" s="18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 spans="2:44">
      <c r="B53" s="112">
        <v>3</v>
      </c>
      <c r="C53" s="113"/>
      <c r="D53" s="113"/>
      <c r="E53" s="113"/>
      <c r="F53" s="115"/>
      <c r="J53" s="111"/>
      <c r="L53" s="116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 spans="2:44">
      <c r="B54" s="112">
        <v>4</v>
      </c>
      <c r="C54" s="113"/>
      <c r="D54" s="113"/>
      <c r="F54" s="117"/>
      <c r="J54" s="111"/>
      <c r="L54" s="116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 spans="2:44">
      <c r="B55" s="112"/>
      <c r="C55" s="113"/>
      <c r="D55" s="113"/>
      <c r="F55" s="114"/>
      <c r="J55" s="111"/>
      <c r="L55" s="18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 spans="2:44" ht="15.6">
      <c r="B56" s="112"/>
      <c r="C56" s="113"/>
      <c r="D56" s="113"/>
      <c r="F56" s="118"/>
      <c r="J56" s="111"/>
      <c r="L56" s="1"/>
      <c r="M56" s="1"/>
      <c r="N56" s="119"/>
      <c r="O56" s="119"/>
      <c r="P56" s="120"/>
      <c r="Q56" s="120"/>
      <c r="R56" s="120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</sheetData>
  <mergeCells count="35">
    <mergeCell ref="B9:H9"/>
    <mergeCell ref="J9:P9"/>
    <mergeCell ref="R9:X9"/>
    <mergeCell ref="F46:H46"/>
    <mergeCell ref="I46:J46"/>
    <mergeCell ref="F43:H43"/>
    <mergeCell ref="I43:J43"/>
    <mergeCell ref="F44:H44"/>
    <mergeCell ref="I44:J44"/>
    <mergeCell ref="F45:H45"/>
    <mergeCell ref="I45:J45"/>
    <mergeCell ref="F40:H40"/>
    <mergeCell ref="I40:J40"/>
    <mergeCell ref="F41:H41"/>
    <mergeCell ref="I41:J41"/>
    <mergeCell ref="F42:H42"/>
    <mergeCell ref="I42:J42"/>
    <mergeCell ref="F37:H37"/>
    <mergeCell ref="I37:J37"/>
    <mergeCell ref="F38:H38"/>
    <mergeCell ref="I38:J38"/>
    <mergeCell ref="F39:H39"/>
    <mergeCell ref="I39:J39"/>
    <mergeCell ref="AD10:AE10"/>
    <mergeCell ref="B35:E35"/>
    <mergeCell ref="F35:H35"/>
    <mergeCell ref="I35:J35"/>
    <mergeCell ref="F36:H36"/>
    <mergeCell ref="I36:J36"/>
    <mergeCell ref="B10:B11"/>
    <mergeCell ref="C10:F10"/>
    <mergeCell ref="J10:J11"/>
    <mergeCell ref="K10:N10"/>
    <mergeCell ref="R10:R11"/>
    <mergeCell ref="S10:W10"/>
  </mergeCells>
  <conditionalFormatting sqref="F36:F37 I36:I37">
    <cfRule type="cellIs" dxfId="7" priority="9" stopIfTrue="1" operator="lessThan">
      <formula>0.95</formula>
    </cfRule>
    <cfRule type="cellIs" dxfId="6" priority="10" stopIfTrue="1" operator="greaterThanOrEqual">
      <formula>0.95</formula>
    </cfRule>
  </conditionalFormatting>
  <conditionalFormatting sqref="F39:J39">
    <cfRule type="cellIs" dxfId="5" priority="13" stopIfTrue="1" operator="greaterThan">
      <formula>0</formula>
    </cfRule>
  </conditionalFormatting>
  <conditionalFormatting sqref="F40:J40">
    <cfRule type="cellIs" dxfId="4" priority="12" stopIfTrue="1" operator="greaterThan">
      <formula>0</formula>
    </cfRule>
  </conditionalFormatting>
  <conditionalFormatting sqref="H2:H6 J7">
    <cfRule type="cellIs" dxfId="3" priority="11" stopIfTrue="1" operator="greaterThanOrEqual">
      <formula>3</formula>
    </cfRule>
  </conditionalFormatting>
  <conditionalFormatting sqref="Z26">
    <cfRule type="cellIs" dxfId="1" priority="5" stopIfTrue="1" operator="greaterThan">
      <formula>A26</formula>
    </cfRule>
    <cfRule type="cellIs" dxfId="0" priority="6" stopIfTrue="1" operator="lessThan">
      <formula>A26</formula>
    </cfRule>
  </conditionalFormatting>
  <dataValidations count="1">
    <dataValidation type="list" allowBlank="1" showInputMessage="1" showErrorMessage="1" sqref="F12:F31 N22:N31 V12:V31" xr:uid="{00000000-0002-0000-0000-000000000000}">
      <formula1>$AS$2:$AS$5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4" operator="notContains" id="{503E716A-4319-4C4F-94FF-B86EF2C6A644}">
            <xm:f>ISERROR(SEARCH($F12,N12))</xm:f>
            <xm:f>$F12</xm:f>
            <x14:dxf>
              <fill>
                <patternFill>
                  <bgColor theme="5" tint="0.39994506668294322"/>
                </patternFill>
              </fill>
            </x14:dxf>
          </x14:cfRule>
          <xm:sqref>N12:N31</xm:sqref>
        </x14:conditionalFormatting>
      </x14:conditionalFormattings>
    </ext>
  </extLst>
</worksheet>
</file>

<file path=docMetadata/LabelInfo.xml><?xml version="1.0" encoding="utf-8"?>
<clbl:labelList xmlns:clbl="http://schemas.microsoft.com/office/2020/mipLabelMetadata">
  <clbl:label id="{79b9de4d-acfd-4ca2-b3ab-a2ce683ab7e1}" enabled="0" method="" siteId="{79b9de4d-acfd-4ca2-b3ab-a2ce683ab7e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2025-12-14T13:14:40Z</dcterms:modified>
</cp:coreProperties>
</file>